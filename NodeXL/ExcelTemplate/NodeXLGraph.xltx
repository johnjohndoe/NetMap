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Metrics'!$Y$2</definedName>
    <definedName name="DynamicFilterColumnName">'Overall Metrics'!#REF!</definedName>
    <definedName name="DynamicFilterForceCalculationRange">HistogramBins[[Dynamic Filter Bin]:[Dynamic Filter Frequency]]</definedName>
    <definedName name="DynamicFilterSourceColumnRange">'Overall Metrics'!$Y$4</definedName>
    <definedName name="DynamicFilterTableName">'Overall Metrics'!#REF!</definedName>
    <definedName name="NoMetricMessage">'Overall Metrics'!$Y$3</definedName>
    <definedName name="NotAvailable">'Overall Metrics'!$Y$2</definedName>
    <definedName name="ValidBooleansDefaultFalse">Misc!$E$2:$E$5</definedName>
    <definedName name="ValidEdgeStyles">Misc!$B$2:$B$11</definedName>
    <definedName name="ValidEdgeVisibilities">Misc!$A$2:$A$7</definedName>
    <definedName name="ValidVertexLabelPositions">Misc!$F$2:$F$19</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18" i="7"/>
  <c r="B117"/>
  <c r="B120"/>
  <c r="B119"/>
  <c r="Q45"/>
  <c r="R45" s="1"/>
  <c r="Q2"/>
  <c r="B132"/>
  <c r="B131"/>
  <c r="B134"/>
  <c r="B133"/>
  <c r="S45"/>
  <c r="T45" s="1"/>
  <c r="S2"/>
  <c r="B104"/>
  <c r="B103"/>
  <c r="B106"/>
  <c r="B105"/>
  <c r="O45"/>
  <c r="P45" s="1"/>
  <c r="O2"/>
  <c r="B90"/>
  <c r="B89"/>
  <c r="B76"/>
  <c r="B75"/>
  <c r="B92"/>
  <c r="B91"/>
  <c r="M45"/>
  <c r="N45" s="1"/>
  <c r="M2"/>
  <c r="B62"/>
  <c r="B61"/>
  <c r="B48"/>
  <c r="B47"/>
  <c r="B78"/>
  <c r="B77"/>
  <c r="K45"/>
  <c r="L45" s="1"/>
  <c r="K2"/>
  <c r="B64"/>
  <c r="B63"/>
  <c r="I45"/>
  <c r="J45" s="1"/>
  <c r="I2"/>
  <c r="B50"/>
  <c r="B49"/>
  <c r="G45"/>
  <c r="H45" s="1"/>
  <c r="G2"/>
  <c r="B34"/>
  <c r="B33"/>
  <c r="B36"/>
  <c r="B35"/>
  <c r="U45"/>
  <c r="U2"/>
  <c r="Y2" l="1"/>
  <c r="Q3" s="1"/>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E45"/>
  <c r="F45" s="1"/>
  <c r="E2"/>
  <c r="V45"/>
  <c r="R3" l="1"/>
  <c r="R2"/>
  <c r="S3"/>
  <c r="S4" s="1"/>
  <c r="T3" s="1"/>
  <c r="U3"/>
  <c r="M3"/>
  <c r="N2" s="1"/>
  <c r="O3"/>
  <c r="I3"/>
  <c r="K3"/>
  <c r="E3"/>
  <c r="E4" s="1"/>
  <c r="F3" s="1"/>
  <c r="G3"/>
  <c r="V2"/>
  <c r="R5" l="1"/>
  <c r="R4"/>
  <c r="T2"/>
  <c r="U4"/>
  <c r="S5"/>
  <c r="T4" s="1"/>
  <c r="O4"/>
  <c r="P2"/>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J2"/>
  <c r="K4"/>
  <c r="L2"/>
  <c r="I4"/>
  <c r="I5" s="1"/>
  <c r="F2"/>
  <c r="G4"/>
  <c r="H2"/>
  <c r="E5"/>
  <c r="F4" s="1"/>
  <c r="V3"/>
  <c r="R6" l="1"/>
  <c r="U5"/>
  <c r="N3"/>
  <c r="S6"/>
  <c r="T5" s="1"/>
  <c r="J3"/>
  <c r="O5"/>
  <c r="P3"/>
  <c r="N4"/>
  <c r="N5"/>
  <c r="N6"/>
  <c r="K5"/>
  <c r="L3"/>
  <c r="I6"/>
  <c r="J5" s="1"/>
  <c r="J4"/>
  <c r="G5"/>
  <c r="H3"/>
  <c r="E6"/>
  <c r="F5" s="1"/>
  <c r="V4"/>
  <c r="R7" l="1"/>
  <c r="U6"/>
  <c r="S7"/>
  <c r="T6" s="1"/>
  <c r="O6"/>
  <c r="P4"/>
  <c r="N7"/>
  <c r="K6"/>
  <c r="L4"/>
  <c r="I7"/>
  <c r="J6" s="1"/>
  <c r="G6"/>
  <c r="H4"/>
  <c r="E7"/>
  <c r="F6" s="1"/>
  <c r="V5"/>
  <c r="U7" l="1"/>
  <c r="S8"/>
  <c r="O7"/>
  <c r="P5"/>
  <c r="N8"/>
  <c r="K7"/>
  <c r="L6" s="1"/>
  <c r="L5"/>
  <c r="I8"/>
  <c r="G7"/>
  <c r="H6" s="1"/>
  <c r="H5"/>
  <c r="E8"/>
  <c r="F7" s="1"/>
  <c r="V6"/>
  <c r="R9" l="1"/>
  <c r="R8"/>
  <c r="U8"/>
  <c r="S9"/>
  <c r="T7"/>
  <c r="O8"/>
  <c r="P6"/>
  <c r="N9"/>
  <c r="K8"/>
  <c r="L7" s="1"/>
  <c r="I9"/>
  <c r="J8" s="1"/>
  <c r="J7"/>
  <c r="G8"/>
  <c r="E9"/>
  <c r="F8" s="1"/>
  <c r="V7"/>
  <c r="R10" l="1"/>
  <c r="U9"/>
  <c r="S10"/>
  <c r="T9" s="1"/>
  <c r="T8"/>
  <c r="O9"/>
  <c r="P8" s="1"/>
  <c r="P7"/>
  <c r="N10"/>
  <c r="K9"/>
  <c r="L8" s="1"/>
  <c r="I10"/>
  <c r="J9" s="1"/>
  <c r="G9"/>
  <c r="H8" s="1"/>
  <c r="H7"/>
  <c r="E10"/>
  <c r="F9" s="1"/>
  <c r="V8"/>
  <c r="R11" l="1"/>
  <c r="U10"/>
  <c r="S11"/>
  <c r="T10" s="1"/>
  <c r="O10"/>
  <c r="P9" s="1"/>
  <c r="N11"/>
  <c r="K10"/>
  <c r="L9" s="1"/>
  <c r="I11"/>
  <c r="J10" s="1"/>
  <c r="G10"/>
  <c r="H9" s="1"/>
  <c r="E11"/>
  <c r="F10" s="1"/>
  <c r="V9"/>
  <c r="R12" l="1"/>
  <c r="U11"/>
  <c r="S12"/>
  <c r="T11" s="1"/>
  <c r="O11"/>
  <c r="P10" s="1"/>
  <c r="N12"/>
  <c r="K11"/>
  <c r="L10" s="1"/>
  <c r="I12"/>
  <c r="J11" s="1"/>
  <c r="G11"/>
  <c r="H10" s="1"/>
  <c r="E12"/>
  <c r="F11" s="1"/>
  <c r="V10"/>
  <c r="R13" l="1"/>
  <c r="U12"/>
  <c r="S13"/>
  <c r="T12" s="1"/>
  <c r="O12"/>
  <c r="P11" s="1"/>
  <c r="N13"/>
  <c r="K12"/>
  <c r="L11" s="1"/>
  <c r="I13"/>
  <c r="J12" s="1"/>
  <c r="G12"/>
  <c r="H11" s="1"/>
  <c r="E13"/>
  <c r="F12" s="1"/>
  <c r="V11"/>
  <c r="R14" l="1"/>
  <c r="U13"/>
  <c r="S14"/>
  <c r="T13" s="1"/>
  <c r="O13"/>
  <c r="P12" s="1"/>
  <c r="N14"/>
  <c r="K13"/>
  <c r="L12" s="1"/>
  <c r="I14"/>
  <c r="J13" s="1"/>
  <c r="G13"/>
  <c r="H12" s="1"/>
  <c r="E14"/>
  <c r="F13" s="1"/>
  <c r="V12"/>
  <c r="R15" l="1"/>
  <c r="U14"/>
  <c r="S15"/>
  <c r="O14"/>
  <c r="P13" s="1"/>
  <c r="N15"/>
  <c r="K14"/>
  <c r="L13" s="1"/>
  <c r="I15"/>
  <c r="J14" s="1"/>
  <c r="G14"/>
  <c r="H13" s="1"/>
  <c r="E15"/>
  <c r="F14" s="1"/>
  <c r="V13"/>
  <c r="R16" l="1"/>
  <c r="U15"/>
  <c r="S16"/>
  <c r="T15" s="1"/>
  <c r="T14"/>
  <c r="O15"/>
  <c r="P14" s="1"/>
  <c r="N16"/>
  <c r="K15"/>
  <c r="L14" s="1"/>
  <c r="I16"/>
  <c r="J15" s="1"/>
  <c r="G15"/>
  <c r="H14" s="1"/>
  <c r="E16"/>
  <c r="F15" s="1"/>
  <c r="V14"/>
  <c r="R17" l="1"/>
  <c r="U16"/>
  <c r="S17"/>
  <c r="O16"/>
  <c r="P15" s="1"/>
  <c r="N17"/>
  <c r="K16"/>
  <c r="L15" s="1"/>
  <c r="I17"/>
  <c r="J16" s="1"/>
  <c r="G16"/>
  <c r="H15" s="1"/>
  <c r="E17"/>
  <c r="F16" s="1"/>
  <c r="V15"/>
  <c r="R18" l="1"/>
  <c r="U17"/>
  <c r="S18"/>
  <c r="T16"/>
  <c r="O17"/>
  <c r="P16" s="1"/>
  <c r="N18"/>
  <c r="K17"/>
  <c r="L16" s="1"/>
  <c r="I18"/>
  <c r="J17" s="1"/>
  <c r="G17"/>
  <c r="H16" s="1"/>
  <c r="E18"/>
  <c r="F17" s="1"/>
  <c r="V16"/>
  <c r="R19" l="1"/>
  <c r="U18"/>
  <c r="S19"/>
  <c r="T18" s="1"/>
  <c r="T17"/>
  <c r="O18"/>
  <c r="P17" s="1"/>
  <c r="N19"/>
  <c r="K18"/>
  <c r="L17" s="1"/>
  <c r="I19"/>
  <c r="J18" s="1"/>
  <c r="G18"/>
  <c r="H17" s="1"/>
  <c r="E19"/>
  <c r="F18" s="1"/>
  <c r="V17"/>
  <c r="R20" l="1"/>
  <c r="U19"/>
  <c r="S20"/>
  <c r="T19" s="1"/>
  <c r="O19"/>
  <c r="P18" s="1"/>
  <c r="N20"/>
  <c r="K19"/>
  <c r="L18" s="1"/>
  <c r="I20"/>
  <c r="J19" s="1"/>
  <c r="G19"/>
  <c r="H18" s="1"/>
  <c r="E20"/>
  <c r="F19" s="1"/>
  <c r="V18"/>
  <c r="R21" l="1"/>
  <c r="U20"/>
  <c r="S21"/>
  <c r="T20" s="1"/>
  <c r="O20"/>
  <c r="P19" s="1"/>
  <c r="N21"/>
  <c r="K20"/>
  <c r="L19" s="1"/>
  <c r="I21"/>
  <c r="J20" s="1"/>
  <c r="G20"/>
  <c r="H19" s="1"/>
  <c r="E21"/>
  <c r="F20" s="1"/>
  <c r="V19"/>
  <c r="U21" l="1"/>
  <c r="S22"/>
  <c r="T21" s="1"/>
  <c r="O21"/>
  <c r="P20" s="1"/>
  <c r="N22"/>
  <c r="K21"/>
  <c r="L20" s="1"/>
  <c r="I22"/>
  <c r="J21" s="1"/>
  <c r="G21"/>
  <c r="H20" s="1"/>
  <c r="E22"/>
  <c r="F21" s="1"/>
  <c r="V20"/>
  <c r="R22" l="1"/>
  <c r="U22"/>
  <c r="S23"/>
  <c r="T22" s="1"/>
  <c r="O22"/>
  <c r="P21" s="1"/>
  <c r="N23"/>
  <c r="K22"/>
  <c r="L21" s="1"/>
  <c r="I23"/>
  <c r="J22" s="1"/>
  <c r="G22"/>
  <c r="H21" s="1"/>
  <c r="E23"/>
  <c r="F22" s="1"/>
  <c r="V21"/>
  <c r="R23" l="1"/>
  <c r="U23"/>
  <c r="S24"/>
  <c r="T23" s="1"/>
  <c r="O23"/>
  <c r="P22" s="1"/>
  <c r="N24"/>
  <c r="K23"/>
  <c r="L22" s="1"/>
  <c r="I24"/>
  <c r="J23" s="1"/>
  <c r="G23"/>
  <c r="H22" s="1"/>
  <c r="E24"/>
  <c r="F23" s="1"/>
  <c r="V22"/>
  <c r="R24" l="1"/>
  <c r="U24"/>
  <c r="S25"/>
  <c r="T24" s="1"/>
  <c r="O24"/>
  <c r="P23" s="1"/>
  <c r="N25"/>
  <c r="K24"/>
  <c r="L23" s="1"/>
  <c r="I25"/>
  <c r="J24" s="1"/>
  <c r="G24"/>
  <c r="H23" s="1"/>
  <c r="E25"/>
  <c r="F24" s="1"/>
  <c r="V23"/>
  <c r="R25" l="1"/>
  <c r="U25"/>
  <c r="S26"/>
  <c r="T25" s="1"/>
  <c r="O25"/>
  <c r="P24" s="1"/>
  <c r="N26"/>
  <c r="K25"/>
  <c r="L24" s="1"/>
  <c r="I26"/>
  <c r="J25" s="1"/>
  <c r="G25"/>
  <c r="H24" s="1"/>
  <c r="E26"/>
  <c r="F25" s="1"/>
  <c r="V24"/>
  <c r="R26" l="1"/>
  <c r="U26"/>
  <c r="S27"/>
  <c r="T26" s="1"/>
  <c r="O26"/>
  <c r="P25" s="1"/>
  <c r="N27"/>
  <c r="K26"/>
  <c r="L25" s="1"/>
  <c r="I27"/>
  <c r="J26" s="1"/>
  <c r="G26"/>
  <c r="H25" s="1"/>
  <c r="E27"/>
  <c r="F26" s="1"/>
  <c r="V25"/>
  <c r="R27" l="1"/>
  <c r="U27"/>
  <c r="S28"/>
  <c r="T27" s="1"/>
  <c r="O27"/>
  <c r="P26" s="1"/>
  <c r="N28"/>
  <c r="K27"/>
  <c r="L26" s="1"/>
  <c r="I28"/>
  <c r="J27" s="1"/>
  <c r="G27"/>
  <c r="H26" s="1"/>
  <c r="E28"/>
  <c r="F27" s="1"/>
  <c r="V26"/>
  <c r="R28" l="1"/>
  <c r="U28"/>
  <c r="S29"/>
  <c r="T28" s="1"/>
  <c r="O28"/>
  <c r="P27" s="1"/>
  <c r="N29"/>
  <c r="K28"/>
  <c r="L27" s="1"/>
  <c r="I29"/>
  <c r="J28" s="1"/>
  <c r="G28"/>
  <c r="H27" s="1"/>
  <c r="E29"/>
  <c r="F28" s="1"/>
  <c r="V27"/>
  <c r="R29" l="1"/>
  <c r="U29"/>
  <c r="S30"/>
  <c r="O29"/>
  <c r="P28" s="1"/>
  <c r="N30"/>
  <c r="K29"/>
  <c r="L28" s="1"/>
  <c r="I30"/>
  <c r="J29" s="1"/>
  <c r="G29"/>
  <c r="H28" s="1"/>
  <c r="E30"/>
  <c r="F29" s="1"/>
  <c r="V28"/>
  <c r="R30" l="1"/>
  <c r="U30"/>
  <c r="S31"/>
  <c r="T30" s="1"/>
  <c r="T29"/>
  <c r="O30"/>
  <c r="P29" s="1"/>
  <c r="N31"/>
  <c r="K30"/>
  <c r="L29" s="1"/>
  <c r="I31"/>
  <c r="J30" s="1"/>
  <c r="G30"/>
  <c r="H29" s="1"/>
  <c r="E31"/>
  <c r="F30" s="1"/>
  <c r="V29"/>
  <c r="R31" l="1"/>
  <c r="U31"/>
  <c r="S32"/>
  <c r="T31" s="1"/>
  <c r="O31"/>
  <c r="P30" s="1"/>
  <c r="N32"/>
  <c r="K31"/>
  <c r="L30" s="1"/>
  <c r="I32"/>
  <c r="J31" s="1"/>
  <c r="G31"/>
  <c r="H30" s="1"/>
  <c r="E32"/>
  <c r="F31" s="1"/>
  <c r="V30"/>
  <c r="R32" l="1"/>
  <c r="U32"/>
  <c r="S33"/>
  <c r="O32"/>
  <c r="P31" s="1"/>
  <c r="N33"/>
  <c r="K32"/>
  <c r="L31" s="1"/>
  <c r="I33"/>
  <c r="J32" s="1"/>
  <c r="G32"/>
  <c r="H31" s="1"/>
  <c r="E33"/>
  <c r="F32" s="1"/>
  <c r="V31"/>
  <c r="R33" l="1"/>
  <c r="U33"/>
  <c r="S34"/>
  <c r="T33" s="1"/>
  <c r="T32"/>
  <c r="O33"/>
  <c r="P32" s="1"/>
  <c r="N34"/>
  <c r="K33"/>
  <c r="L32" s="1"/>
  <c r="I34"/>
  <c r="J33" s="1"/>
  <c r="G33"/>
  <c r="H32" s="1"/>
  <c r="E34"/>
  <c r="F33" s="1"/>
  <c r="V32"/>
  <c r="R34" l="1"/>
  <c r="U34"/>
  <c r="S35"/>
  <c r="T34" s="1"/>
  <c r="O34"/>
  <c r="P33" s="1"/>
  <c r="N35"/>
  <c r="K34"/>
  <c r="L33" s="1"/>
  <c r="I35"/>
  <c r="J34" s="1"/>
  <c r="G34"/>
  <c r="H33" s="1"/>
  <c r="E35"/>
  <c r="F34" s="1"/>
  <c r="V33"/>
  <c r="R35" l="1"/>
  <c r="U35"/>
  <c r="S36"/>
  <c r="T35" s="1"/>
  <c r="O35"/>
  <c r="P34" s="1"/>
  <c r="N36"/>
  <c r="K35"/>
  <c r="L34" s="1"/>
  <c r="I36"/>
  <c r="J35" s="1"/>
  <c r="G35"/>
  <c r="H34" s="1"/>
  <c r="E36"/>
  <c r="F35" s="1"/>
  <c r="V34"/>
  <c r="R36" l="1"/>
  <c r="U36"/>
  <c r="S37"/>
  <c r="T36" s="1"/>
  <c r="O36"/>
  <c r="P35" s="1"/>
  <c r="N37"/>
  <c r="K36"/>
  <c r="L35" s="1"/>
  <c r="I37"/>
  <c r="J36" s="1"/>
  <c r="G36"/>
  <c r="H35" s="1"/>
  <c r="E37"/>
  <c r="F36" s="1"/>
  <c r="V35"/>
  <c r="R37" l="1"/>
  <c r="U37"/>
  <c r="S38"/>
  <c r="T37" s="1"/>
  <c r="O37"/>
  <c r="P36" s="1"/>
  <c r="N38"/>
  <c r="K37"/>
  <c r="L36" s="1"/>
  <c r="I38"/>
  <c r="J37" s="1"/>
  <c r="G37"/>
  <c r="H36" s="1"/>
  <c r="E38"/>
  <c r="F37" s="1"/>
  <c r="V36"/>
  <c r="R38" l="1"/>
  <c r="U38"/>
  <c r="S39"/>
  <c r="T38" s="1"/>
  <c r="O38"/>
  <c r="P37" s="1"/>
  <c r="N39"/>
  <c r="K38"/>
  <c r="L37" s="1"/>
  <c r="I39"/>
  <c r="J38" s="1"/>
  <c r="G38"/>
  <c r="H37" s="1"/>
  <c r="E39"/>
  <c r="F38" s="1"/>
  <c r="V37"/>
  <c r="R39" l="1"/>
  <c r="U39"/>
  <c r="S40"/>
  <c r="T39" s="1"/>
  <c r="O39"/>
  <c r="P38" s="1"/>
  <c r="N40"/>
  <c r="K39"/>
  <c r="L38" s="1"/>
  <c r="I40"/>
  <c r="J39" s="1"/>
  <c r="G39"/>
  <c r="H38" s="1"/>
  <c r="E40"/>
  <c r="F39" s="1"/>
  <c r="V38"/>
  <c r="R40" l="1"/>
  <c r="U40"/>
  <c r="S41"/>
  <c r="T40" s="1"/>
  <c r="O40"/>
  <c r="P39" s="1"/>
  <c r="N41"/>
  <c r="K40"/>
  <c r="L39" s="1"/>
  <c r="I41"/>
  <c r="J40" s="1"/>
  <c r="G40"/>
  <c r="H39" s="1"/>
  <c r="E41"/>
  <c r="F40" s="1"/>
  <c r="V39"/>
  <c r="R41" l="1"/>
  <c r="U41"/>
  <c r="S42"/>
  <c r="T41" s="1"/>
  <c r="O41"/>
  <c r="P40" s="1"/>
  <c r="N42"/>
  <c r="K41"/>
  <c r="L40" s="1"/>
  <c r="I42"/>
  <c r="J41" s="1"/>
  <c r="G41"/>
  <c r="H40" s="1"/>
  <c r="E42"/>
  <c r="F41" s="1"/>
  <c r="V40"/>
  <c r="R44" l="1"/>
  <c r="R42"/>
  <c r="U42"/>
  <c r="S43"/>
  <c r="T42" s="1"/>
  <c r="O42"/>
  <c r="P41" s="1"/>
  <c r="N43"/>
  <c r="N44"/>
  <c r="K42"/>
  <c r="L41" s="1"/>
  <c r="I43"/>
  <c r="J42" s="1"/>
  <c r="G42"/>
  <c r="H41" s="1"/>
  <c r="E43"/>
  <c r="F42" s="1"/>
  <c r="V41"/>
  <c r="R43" l="1"/>
  <c r="U43"/>
  <c r="S44"/>
  <c r="T44" s="1"/>
  <c r="O43"/>
  <c r="P42" s="1"/>
  <c r="K43"/>
  <c r="L42" s="1"/>
  <c r="I44"/>
  <c r="J44" s="1"/>
  <c r="G43"/>
  <c r="H42" s="1"/>
  <c r="E44"/>
  <c r="F44" s="1"/>
  <c r="V42"/>
  <c r="T43" l="1"/>
  <c r="U44"/>
  <c r="O44"/>
  <c r="P44" s="1"/>
  <c r="K44"/>
  <c r="L44" s="1"/>
  <c r="J43"/>
  <c r="G44"/>
  <c r="H44" s="1"/>
  <c r="F43"/>
  <c r="V44"/>
  <c r="P43" l="1"/>
  <c r="L43"/>
  <c r="H43"/>
  <c r="V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0">
      <text>
        <r>
          <rPr>
            <b/>
            <sz val="8"/>
            <color indexed="81"/>
            <rFont val="Tahoma"/>
            <family val="2"/>
          </rPr>
          <t xml:space="preserve">Edge ID
</t>
        </r>
        <r>
          <rPr>
            <sz val="8"/>
            <color indexed="81"/>
            <rFont val="Tahoma"/>
            <family val="2"/>
          </rPr>
          <t>This is a unique ID that gets filled in automatically.  Do not edit this column.</t>
        </r>
      </text>
    </comment>
    <comment ref="K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<sst xmlns="http://schemas.openxmlformats.org/spreadsheetml/2006/main" count="200" uniqueCount="177">
  <si>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</si>
  <si>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</si>
  <si>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</si>
  <si>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</si>
  <si>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</si>
  <si>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</si>
  <si>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</si>
  <si>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</si>
  <si>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</si>
  <si>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</si>
  <si>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</si>
  <si>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</si>
  <si>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</si>
  <si>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</si>
  <si>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</si>
  <si>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</si>
  <si>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</si>
  <si>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</si>
  <si>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</si>
  <si>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</si>
  <si>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</si>
  <si>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</si>
  <si>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</si>
  <si>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</si>
  <si>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</si>
  <si>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</si>
  <si>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</si>
  <si>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</si>
  <si>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</si>
  <si>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</si>
  <si>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</si>
  <si>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</si>
  <si>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</si>
  <si>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</si>
  <si>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</si>
  <si>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</si>
  <si>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</si>
  <si>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</si>
  <si>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</si>
  <si>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</si>
  <si>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</si>
  <si>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</si>
  <si>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</si>
  <si>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</si>
  <si>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</si>
  <si>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</si>
  <si>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</si>
  <si>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</si>
  <si>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</si>
  <si>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</si>
  <si>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</si>
  <si>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</si>
  <si>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</si>
  <si>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</si>
  <si>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</si>
  <si>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</si>
  <si>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</si>
  <si>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</si>
  <si>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</si>
  <si>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</si>
  <si>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</si>
  <si>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</si>
  <si>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</si>
  <si>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</si>
  <si>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</si>
  <si>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</si>
  <si>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</si>
  <si>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</si>
  <si>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</si>
  <si>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</si>
  <si>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</si>
  <si>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</si>
  <si>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</si>
  <si>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</si>
  <si>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</si>
  <si>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</si>
  <si>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</si>
  <si>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</si>
  <si>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</si>
  <si>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</si>
  <si>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</si>
  <si>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</si>
  <si>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</si>
  <si>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</si>
  <si>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</si>
  <si>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</si>
  <si>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</si>
  <si>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</si>
  <si>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</si>
  <si>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</si>
  <si>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</si>
  <si>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</si>
  <si>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Comments</t>
  </si>
  <si>
    <t>Degree Bin</t>
  </si>
  <si>
    <t>Degree Frequency</t>
  </si>
  <si>
    <t>Minimum Degree</t>
  </si>
  <si>
    <t>Maximum Degree</t>
  </si>
  <si>
    <t>Average Degree</t>
  </si>
  <si>
    <t>Median Degree</t>
  </si>
  <si>
    <t>Not Available</t>
  </si>
  <si>
    <t xml:space="preserve"> </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</si>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</sst>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12">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72">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0" fontId="11" fillId="5" borderId="1" xfId="4" applyNumberFormat="1" applyFon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87">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font>
        <b val="0"/>
        <i val="0"/>
        <strike val="0"/>
        <condense val="0"/>
        <extend val="0"/>
        <outline val="0"/>
        <shadow val="0"/>
        <u val="none"/>
        <vertAlign val="baseline"/>
        <sz val="11"/>
        <color theme="1"/>
        <name val="Calibri"/>
        <scheme val="minor"/>
      </font>
      <numFmt numFmtId="0" formatCode="General"/>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6"/>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Metrics'!$F$2</c:f>
              <c:strCache>
                <c:ptCount val="1"/>
                <c:pt idx="0">
                  <c:v>0</c:v>
                </c:pt>
              </c:strCache>
            </c:strRef>
          </c:tx>
          <c:spPr>
            <a:solidFill>
              <a:schemeClr val="accent1"/>
            </a:solidFill>
          </c:spPr>
          <c:cat>
            <c:numRef>
              <c:f>'Overall Metrics'!$E$2:$E$45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Metrics'!$F$2:$F$45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1750272"/>
        <c:axId val="81752832"/>
      </c:barChart>
      <c:catAx>
        <c:axId val="817502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81752832"/>
        <c:crosses val="autoZero"/>
        <c:auto val="1"/>
        <c:lblAlgn val="ctr"/>
        <c:lblOffset val="100"/>
      </c:catAx>
      <c:valAx>
        <c:axId val="81752832"/>
        <c:scaling>
          <c:orientation val="minMax"/>
        </c:scaling>
        <c:axPos val="l"/>
        <c:majorGridlines/>
        <c:title>
          <c:tx>
            <c:rich>
              <a:bodyPr rot="-5400000" vert="horz"/>
              <a:lstStyle/>
              <a:p>
                <a:pPr>
                  <a:defRPr/>
                </a:pPr>
                <a:r>
                  <a:rPr lang="en-US"/>
                  <a:t>Frequency</a:t>
                </a:r>
              </a:p>
            </c:rich>
          </c:tx>
        </c:title>
        <c:numFmt formatCode="General" sourceLinked="1"/>
        <c:tickLblPos val="nextTo"/>
        <c:crossAx val="81750272"/>
        <c:crosses val="autoZero"/>
        <c:crossBetween val="between"/>
      </c:valAx>
    </c:plotArea>
  </c:chart>
  <c:printSettings>
    <c:headerFooter/>
    <c:pageMargins b="0.75000000000001077" l="0.70000000000000062" r="0.70000000000000062" t="0.750000000000010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Metrics'!$H$2</c:f>
              <c:strCache>
                <c:ptCount val="1"/>
                <c:pt idx="0">
                  <c:v>0</c:v>
                </c:pt>
              </c:strCache>
            </c:strRef>
          </c:tx>
          <c:spPr>
            <a:solidFill>
              <a:schemeClr val="accent1"/>
            </a:solidFill>
          </c:spPr>
          <c:cat>
            <c:numRef>
              <c:f>'Overall Metrics'!$G$2:$G$45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Metrics'!$H$2:$H$45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1778176"/>
        <c:axId val="81780096"/>
      </c:barChart>
      <c:catAx>
        <c:axId val="8177817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81780096"/>
        <c:crosses val="autoZero"/>
        <c:auto val="1"/>
        <c:lblAlgn val="ctr"/>
        <c:lblOffset val="100"/>
      </c:catAx>
      <c:valAx>
        <c:axId val="81780096"/>
        <c:scaling>
          <c:orientation val="minMax"/>
        </c:scaling>
        <c:axPos val="l"/>
        <c:majorGridlines/>
        <c:title>
          <c:tx>
            <c:rich>
              <a:bodyPr rot="-5400000" vert="horz"/>
              <a:lstStyle/>
              <a:p>
                <a:pPr>
                  <a:defRPr/>
                </a:pPr>
                <a:r>
                  <a:rPr lang="en-US"/>
                  <a:t>Frequency</a:t>
                </a:r>
              </a:p>
            </c:rich>
          </c:tx>
        </c:title>
        <c:numFmt formatCode="General" sourceLinked="1"/>
        <c:tickLblPos val="nextTo"/>
        <c:crossAx val="81778176"/>
        <c:crosses val="autoZero"/>
        <c:crossBetween val="between"/>
      </c:valAx>
    </c:plotArea>
  </c:chart>
  <c:printSettings>
    <c:headerFooter/>
    <c:pageMargins b="0.75000000000001099" l="0.70000000000000062" r="0.70000000000000062" t="0.750000000000010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Metrics'!$J$2</c:f>
              <c:strCache>
                <c:ptCount val="1"/>
                <c:pt idx="0">
                  <c:v>0</c:v>
                </c:pt>
              </c:strCache>
            </c:strRef>
          </c:tx>
          <c:spPr>
            <a:solidFill>
              <a:schemeClr val="accent1"/>
            </a:solidFill>
          </c:spPr>
          <c:cat>
            <c:numRef>
              <c:f>'Overall Metrics'!$I$2:$I$45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Metrics'!$J$2:$J$45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77466240"/>
        <c:axId val="77505280"/>
      </c:barChart>
      <c:catAx>
        <c:axId val="77466240"/>
        <c:scaling>
          <c:orientation val="minMax"/>
        </c:scaling>
        <c:delete val="1"/>
        <c:axPos val="b"/>
        <c:title>
          <c:tx>
            <c:rich>
              <a:bodyPr/>
              <a:lstStyle/>
              <a:p>
                <a:pPr>
                  <a:defRPr/>
                </a:pPr>
                <a:r>
                  <a:rPr lang="en-US"/>
                  <a:t>Out-Degree</a:t>
                </a:r>
              </a:p>
            </c:rich>
          </c:tx>
          <c:layout>
            <c:manualLayout>
              <c:xMode val="edge"/>
              <c:yMode val="edge"/>
              <c:x val="0.41379516818709683"/>
              <c:y val="0.80898890864449402"/>
            </c:manualLayout>
          </c:layout>
        </c:title>
        <c:numFmt formatCode="#,##0.00" sourceLinked="1"/>
        <c:tickLblPos val="none"/>
        <c:crossAx val="77505280"/>
        <c:crosses val="autoZero"/>
        <c:auto val="1"/>
        <c:lblAlgn val="ctr"/>
        <c:lblOffset val="100"/>
      </c:catAx>
      <c:valAx>
        <c:axId val="77505280"/>
        <c:scaling>
          <c:orientation val="minMax"/>
        </c:scaling>
        <c:axPos val="l"/>
        <c:majorGridlines/>
        <c:title>
          <c:tx>
            <c:rich>
              <a:bodyPr rot="-5400000" vert="horz"/>
              <a:lstStyle/>
              <a:p>
                <a:pPr>
                  <a:defRPr/>
                </a:pPr>
                <a:r>
                  <a:rPr lang="en-US"/>
                  <a:t>Frequency</a:t>
                </a:r>
              </a:p>
            </c:rich>
          </c:tx>
        </c:title>
        <c:numFmt formatCode="General" sourceLinked="1"/>
        <c:tickLblPos val="nextTo"/>
        <c:crossAx val="77466240"/>
        <c:crosses val="autoZero"/>
        <c:crossBetween val="between"/>
      </c:valAx>
    </c:plotArea>
  </c:chart>
  <c:printSettings>
    <c:headerFooter/>
    <c:pageMargins b="0.75000000000001099" l="0.70000000000000062" r="0.70000000000000062" t="0.750000000000010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Metrics'!$L$2</c:f>
              <c:strCache>
                <c:ptCount val="1"/>
                <c:pt idx="0">
                  <c:v>0</c:v>
                </c:pt>
              </c:strCache>
            </c:strRef>
          </c:tx>
          <c:spPr>
            <a:solidFill>
              <a:schemeClr val="accent1"/>
            </a:solidFill>
          </c:spPr>
          <c:cat>
            <c:numRef>
              <c:f>'Overall Metrics'!$K$2:$K$45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Metrics'!$L$2:$L$45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2064128"/>
        <c:axId val="82066048"/>
      </c:barChart>
      <c:catAx>
        <c:axId val="82064128"/>
        <c:scaling>
          <c:orientation val="minMax"/>
        </c:scaling>
        <c:delete val="1"/>
        <c:axPos val="b"/>
        <c:title>
          <c:tx>
            <c:rich>
              <a:bodyPr/>
              <a:lstStyle/>
              <a:p>
                <a:pPr>
                  <a:defRPr/>
                </a:pPr>
                <a:r>
                  <a:rPr lang="en-US"/>
                  <a:t>Betweenness Centrality</a:t>
                </a:r>
              </a:p>
            </c:rich>
          </c:tx>
          <c:layout>
            <c:manualLayout>
              <c:xMode val="edge"/>
              <c:yMode val="edge"/>
              <c:x val="0.32728710116055487"/>
              <c:y val="0.82619320971975252"/>
            </c:manualLayout>
          </c:layout>
        </c:title>
        <c:numFmt formatCode="#,##0.00" sourceLinked="1"/>
        <c:tickLblPos val="none"/>
        <c:crossAx val="82066048"/>
        <c:crosses val="autoZero"/>
        <c:auto val="1"/>
        <c:lblAlgn val="ctr"/>
        <c:lblOffset val="100"/>
      </c:catAx>
      <c:valAx>
        <c:axId val="82066048"/>
        <c:scaling>
          <c:orientation val="minMax"/>
        </c:scaling>
        <c:axPos val="l"/>
        <c:majorGridlines/>
        <c:title>
          <c:tx>
            <c:rich>
              <a:bodyPr rot="-5400000" vert="horz"/>
              <a:lstStyle/>
              <a:p>
                <a:pPr>
                  <a:defRPr/>
                </a:pPr>
                <a:r>
                  <a:rPr lang="en-US"/>
                  <a:t>Frequency</a:t>
                </a:r>
              </a:p>
            </c:rich>
          </c:tx>
        </c:title>
        <c:numFmt formatCode="General" sourceLinked="1"/>
        <c:tickLblPos val="nextTo"/>
        <c:crossAx val="82064128"/>
        <c:crosses val="autoZero"/>
        <c:crossBetween val="between"/>
      </c:valAx>
    </c:plotArea>
  </c:chart>
  <c:printSettings>
    <c:headerFooter/>
    <c:pageMargins b="0.75000000000001099" l="0.70000000000000062" r="0.70000000000000062" t="0.750000000000010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Metrics'!$N$2</c:f>
              <c:strCache>
                <c:ptCount val="1"/>
                <c:pt idx="0">
                  <c:v>0</c:v>
                </c:pt>
              </c:strCache>
            </c:strRef>
          </c:tx>
          <c:spPr>
            <a:solidFill>
              <a:schemeClr val="accent1"/>
            </a:solidFill>
          </c:spPr>
          <c:cat>
            <c:numRef>
              <c:f>'Overall Metrics'!$M$2:$M$45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Metrics'!$N$2:$N$45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2078336"/>
        <c:axId val="82092800"/>
      </c:barChart>
      <c:catAx>
        <c:axId val="82078336"/>
        <c:scaling>
          <c:orientation val="minMax"/>
        </c:scaling>
        <c:delete val="1"/>
        <c:axPos val="b"/>
        <c:title>
          <c:tx>
            <c:rich>
              <a:bodyPr/>
              <a:lstStyle/>
              <a:p>
                <a:pPr>
                  <a:defRPr/>
                </a:pPr>
                <a:r>
                  <a:rPr lang="en-US"/>
                  <a:t>Closeness Centrality</a:t>
                </a:r>
              </a:p>
            </c:rich>
          </c:tx>
          <c:layout>
            <c:manualLayout>
              <c:xMode val="edge"/>
              <c:yMode val="edge"/>
              <c:x val="0.35406086287407729"/>
              <c:y val="0.82619320971975252"/>
            </c:manualLayout>
          </c:layout>
        </c:title>
        <c:numFmt formatCode="#,##0.00" sourceLinked="1"/>
        <c:tickLblPos val="none"/>
        <c:crossAx val="82092800"/>
        <c:crosses val="autoZero"/>
        <c:auto val="1"/>
        <c:lblAlgn val="ctr"/>
        <c:lblOffset val="100"/>
      </c:catAx>
      <c:valAx>
        <c:axId val="82092800"/>
        <c:scaling>
          <c:orientation val="minMax"/>
        </c:scaling>
        <c:axPos val="l"/>
        <c:majorGridlines/>
        <c:title>
          <c:tx>
            <c:rich>
              <a:bodyPr rot="-5400000" vert="horz"/>
              <a:lstStyle/>
              <a:p>
                <a:pPr>
                  <a:defRPr/>
                </a:pPr>
                <a:r>
                  <a:rPr lang="en-US"/>
                  <a:t>Frequency</a:t>
                </a:r>
              </a:p>
            </c:rich>
          </c:tx>
        </c:title>
        <c:numFmt formatCode="General" sourceLinked="1"/>
        <c:tickLblPos val="nextTo"/>
        <c:crossAx val="82078336"/>
        <c:crosses val="autoZero"/>
        <c:crossBetween val="between"/>
      </c:valAx>
    </c:plotArea>
  </c:chart>
  <c:printSettings>
    <c:headerFooter/>
    <c:pageMargins b="0.75000000000001121" l="0.70000000000000062" r="0.70000000000000062" t="0.7500000000000112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Metrics'!$P$2</c:f>
              <c:strCache>
                <c:ptCount val="1"/>
                <c:pt idx="0">
                  <c:v>0</c:v>
                </c:pt>
              </c:strCache>
            </c:strRef>
          </c:tx>
          <c:spPr>
            <a:solidFill>
              <a:schemeClr val="accent1"/>
            </a:solidFill>
          </c:spPr>
          <c:cat>
            <c:numRef>
              <c:f>'Overall Metrics'!$O$2:$O$45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Metrics'!$P$2:$P$45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345600"/>
        <c:axId val="84347520"/>
      </c:barChart>
      <c:catAx>
        <c:axId val="8434560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622"/>
              <c:y val="0.82619320971975252"/>
            </c:manualLayout>
          </c:layout>
        </c:title>
        <c:numFmt formatCode="#,##0.00" sourceLinked="1"/>
        <c:tickLblPos val="none"/>
        <c:crossAx val="84347520"/>
        <c:crosses val="autoZero"/>
        <c:auto val="1"/>
        <c:lblAlgn val="ctr"/>
        <c:lblOffset val="100"/>
      </c:catAx>
      <c:valAx>
        <c:axId val="84347520"/>
        <c:scaling>
          <c:orientation val="minMax"/>
        </c:scaling>
        <c:axPos val="l"/>
        <c:majorGridlines/>
        <c:title>
          <c:tx>
            <c:rich>
              <a:bodyPr rot="-5400000" vert="horz"/>
              <a:lstStyle/>
              <a:p>
                <a:pPr>
                  <a:defRPr/>
                </a:pPr>
                <a:r>
                  <a:rPr lang="en-US"/>
                  <a:t>Frequency</a:t>
                </a:r>
              </a:p>
            </c:rich>
          </c:tx>
        </c:title>
        <c:numFmt formatCode="General" sourceLinked="1"/>
        <c:tickLblPos val="nextTo"/>
        <c:crossAx val="84345600"/>
        <c:crosses val="autoZero"/>
        <c:crossBetween val="between"/>
      </c:valAx>
    </c:plotArea>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Metrics'!$T$2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Metrics'!$T$2:$T$45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384384"/>
        <c:axId val="84386560"/>
      </c:barChart>
      <c:catAx>
        <c:axId val="84384384"/>
        <c:scaling>
          <c:orientation val="minMax"/>
        </c:scaling>
        <c:delete val="1"/>
        <c:axPos val="b"/>
        <c:title>
          <c:tx>
            <c:rich>
              <a:bodyPr/>
              <a:lstStyle/>
              <a:p>
                <a:pPr>
                  <a:defRPr/>
                </a:pPr>
                <a:r>
                  <a:rPr lang="en-US"/>
                  <a:t>Clustering Coefficient</a:t>
                </a:r>
              </a:p>
            </c:rich>
          </c:tx>
          <c:layout>
            <c:manualLayout>
              <c:xMode val="edge"/>
              <c:yMode val="edge"/>
              <c:x val="0.33732726180312644"/>
              <c:y val="0.82619320971975252"/>
            </c:manualLayout>
          </c:layout>
        </c:title>
        <c:numFmt formatCode="#,##0.00" sourceLinked="1"/>
        <c:tickLblPos val="none"/>
        <c:crossAx val="84386560"/>
        <c:crosses val="autoZero"/>
        <c:auto val="1"/>
        <c:lblAlgn val="ctr"/>
        <c:lblOffset val="100"/>
      </c:catAx>
      <c:valAx>
        <c:axId val="84386560"/>
        <c:scaling>
          <c:orientation val="minMax"/>
        </c:scaling>
        <c:axPos val="l"/>
        <c:majorGridlines/>
        <c:title>
          <c:tx>
            <c:rich>
              <a:bodyPr rot="-5400000" vert="horz"/>
              <a:lstStyle/>
              <a:p>
                <a:pPr>
                  <a:defRPr/>
                </a:pPr>
                <a:r>
                  <a:rPr lang="en-US"/>
                  <a:t>Frequency</a:t>
                </a:r>
              </a:p>
            </c:rich>
          </c:tx>
        </c:title>
        <c:numFmt formatCode="General" sourceLinked="1"/>
        <c:tickLblPos val="nextTo"/>
        <c:crossAx val="84384384"/>
        <c:crosses val="autoZero"/>
        <c:crossBetween val="between"/>
      </c:valAx>
    </c:plotArea>
  </c:chart>
  <c:printSettings>
    <c:headerFooter/>
    <c:pageMargins b="0.75000000000001166" l="0.70000000000000062" r="0.70000000000000062" t="0.750000000000011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Metrics'!$R$2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Metrics'!$R$2:$R$45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411136"/>
        <c:axId val="84413056"/>
      </c:barChart>
      <c:catAx>
        <c:axId val="8441113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84413056"/>
        <c:crosses val="autoZero"/>
        <c:auto val="1"/>
        <c:lblAlgn val="ctr"/>
        <c:lblOffset val="100"/>
      </c:catAx>
      <c:valAx>
        <c:axId val="84413056"/>
        <c:scaling>
          <c:orientation val="minMax"/>
        </c:scaling>
        <c:axPos val="l"/>
        <c:majorGridlines/>
        <c:title>
          <c:tx>
            <c:rich>
              <a:bodyPr rot="-5400000" vert="horz"/>
              <a:lstStyle/>
              <a:p>
                <a:pPr>
                  <a:defRPr/>
                </a:pPr>
                <a:r>
                  <a:rPr lang="en-US"/>
                  <a:t>Frequency</a:t>
                </a:r>
              </a:p>
            </c:rich>
          </c:tx>
        </c:title>
        <c:numFmt formatCode="General" sourceLinked="1"/>
        <c:tickLblPos val="nextTo"/>
        <c:crossAx val="84411136"/>
        <c:crosses val="autoZero"/>
        <c:crossBetween val="between"/>
      </c:valAx>
    </c:plotArea>
  </c:chart>
  <c:printSettings>
    <c:headerFooter/>
    <c:pageMargins b="0.75000000000001188" l="0.70000000000000062" r="0.70000000000000062" t="0.750000000000011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317E-3"/>
          <c:y val="8.0430855234004828E-3"/>
          <c:w val="0.99723592884221668"/>
          <c:h val="0.98391246548725431"/>
        </c:manualLayout>
      </c:layout>
      <c:barChart>
        <c:barDir val="col"/>
        <c:grouping val="clustered"/>
        <c:ser>
          <c:idx val="1"/>
          <c:order val="0"/>
          <c:tx>
            <c:strRef>
              <c:f>'Overall Metrics'!$V$2</c:f>
              <c:strCache>
                <c:ptCount val="1"/>
                <c:pt idx="0">
                  <c:v>#REF!</c:v>
                </c:pt>
              </c:strCache>
            </c:strRef>
          </c:tx>
          <c:spPr>
            <a:solidFill>
              <a:schemeClr val="accent1"/>
            </a:solidFill>
          </c:spPr>
          <c:cat>
            <c:numRef>
              <c:f>'Overall Metrics'!$U$2:$U$45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Metrics'!$V$2:$V$45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84499072"/>
        <c:axId val="84504960"/>
      </c:barChart>
      <c:catAx>
        <c:axId val="84499072"/>
        <c:scaling>
          <c:orientation val="minMax"/>
        </c:scaling>
        <c:delete val="1"/>
        <c:axPos val="b"/>
        <c:numFmt formatCode="#,##0.00" sourceLinked="1"/>
        <c:tickLblPos val="none"/>
        <c:crossAx val="84504960"/>
        <c:crosses val="autoZero"/>
        <c:auto val="1"/>
        <c:lblAlgn val="ctr"/>
        <c:lblOffset val="100"/>
      </c:catAx>
      <c:valAx>
        <c:axId val="84504960"/>
        <c:scaling>
          <c:orientation val="minMax"/>
        </c:scaling>
        <c:delete val="1"/>
        <c:axPos val="l"/>
        <c:numFmt formatCode="General" sourceLinked="1"/>
        <c:tickLblPos val="none"/>
        <c:crossAx val="84499072"/>
        <c:crosses val="autoZero"/>
        <c:crossBetween val="between"/>
      </c:valAx>
      <c:spPr>
        <a:solidFill>
          <a:schemeClr val="bg1">
            <a:lumMod val="85000"/>
          </a:schemeClr>
        </a:solidFill>
        <a:ln>
          <a:noFill/>
        </a:ln>
      </c:spPr>
    </c:plotArea>
  </c:chart>
  <c:spPr>
    <a:noFill/>
    <a:ln>
      <a:noFill/>
    </a:ln>
  </c:spPr>
  <c:printSettings>
    <c:headerFooter/>
    <c:pageMargins b="0.7500000000000121" l="0.70000000000000062" r="0.70000000000000062" t="0.7500000000000121"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24</xdr:row>
      <xdr:rowOff>38100</xdr:rowOff>
    </xdr:from>
    <xdr:to>
      <xdr:col>1</xdr:col>
      <xdr:colOff>918209</xdr:colOff>
      <xdr:row>31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38</xdr:row>
      <xdr:rowOff>38100</xdr:rowOff>
    </xdr:from>
    <xdr:to>
      <xdr:col>1</xdr:col>
      <xdr:colOff>918209</xdr:colOff>
      <xdr:row>45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28575</xdr:rowOff>
    </xdr:from>
    <xdr:to>
      <xdr:col>1</xdr:col>
      <xdr:colOff>918209</xdr:colOff>
      <xdr:row>59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66</xdr:row>
      <xdr:rowOff>9525</xdr:rowOff>
    </xdr:from>
    <xdr:to>
      <xdr:col>1</xdr:col>
      <xdr:colOff>918210</xdr:colOff>
      <xdr:row>73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80</xdr:row>
      <xdr:rowOff>19050</xdr:rowOff>
    </xdr:from>
    <xdr:to>
      <xdr:col>2</xdr:col>
      <xdr:colOff>3810</xdr:colOff>
      <xdr:row>87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94</xdr:row>
      <xdr:rowOff>19050</xdr:rowOff>
    </xdr:from>
    <xdr:to>
      <xdr:col>1</xdr:col>
      <xdr:colOff>918210</xdr:colOff>
      <xdr:row>101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122</xdr:row>
      <xdr:rowOff>9525</xdr:rowOff>
    </xdr:from>
    <xdr:to>
      <xdr:col>1</xdr:col>
      <xdr:colOff>918210</xdr:colOff>
      <xdr:row>129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108</xdr:row>
      <xdr:rowOff>0</xdr:rowOff>
    </xdr:from>
    <xdr:to>
      <xdr:col>1</xdr:col>
      <xdr:colOff>918210</xdr:colOff>
      <xdr:row>115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0</xdr:colOff>
      <xdr:row>1</xdr:row>
      <xdr:rowOff>0</xdr:rowOff>
    </xdr:from>
    <xdr:to>
      <xdr:col>20</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K3" totalsRowShown="0">
  <autoFilter ref="A2:K3">
    <filterColumn colId="3"/>
    <filterColumn colId="4"/>
    <filterColumn colId="5"/>
    <filterColumn colId="6"/>
    <filterColumn colId="7"/>
    <filterColumn colId="8"/>
    <filterColumn colId="9"/>
    <filterColumn colId="10"/>
  </autoFilter>
  <tableColumns count="11">
    <tableColumn id="1" name="Vertex 1" dataDxfId="85" dataCellStyle="NodeXL Required"/>
    <tableColumn id="2" name="Vertex 2" dataDxfId="84" dataCellStyle="NodeXL Required"/>
    <tableColumn id="3" name="Color" dataDxfId="83" dataCellStyle="NodeXL Visual Property"/>
    <tableColumn id="4" name="Width" dataDxfId="82" dataCellStyle="NodeXL Visual Property"/>
    <tableColumn id="11" name="Style" dataDxfId="81" dataCellStyle="NodeXL Visual Property"/>
    <tableColumn id="5" name="Opacity" dataDxfId="80" dataCellStyle="NodeXL Visual Property"/>
    <tableColumn id="6" name="Visibility" dataDxfId="79" dataCellStyle="NodeXL Visual Property"/>
    <tableColumn id="10" name="Label" dataDxfId="78" dataCellStyle="NodeXL Label"/>
    <tableColumn id="7" name="ID" dataDxfId="77" dataCellStyle="NodeXL Do Not Edit"/>
    <tableColumn id="9" name="Dynamic Filter" dataDxfId="76" dataCellStyle="NodeXL Do Not Edit"/>
    <tableColumn id="8" name="Add Your Own Columns Here" dataDxfId="75"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74" dataDxfId="73">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72" dataCellStyle="NodeXL Required"/>
    <tableColumn id="21" name="Degree" dataDxfId="71" dataCellStyle="NodeXL Graph Metric"/>
    <tableColumn id="22" name="In-Degree" dataDxfId="70" dataCellStyle="NodeXL Graph Metric"/>
    <tableColumn id="23" name="Out-Degree" dataDxfId="69" dataCellStyle="NodeXL Graph Metric"/>
    <tableColumn id="24" name="Betweenness Centrality" dataDxfId="68" dataCellStyle="NodeXL Graph Metric"/>
    <tableColumn id="25" name="Closeness Centrality" dataDxfId="67" dataCellStyle="NodeXL Graph Metric"/>
    <tableColumn id="26" name="Eigenvector Centrality" dataDxfId="66" dataCellStyle="NodeXL Graph Metric"/>
    <tableColumn id="15" name="PageRank" dataDxfId="65" dataCellStyle="NodeXL Graph Metric"/>
    <tableColumn id="27" name="Clustering Coefficient" dataDxfId="64" dataCellStyle="NodeXL Graph Metric"/>
    <tableColumn id="2" name="Color" dataDxfId="63" dataCellStyle="NodeXL Visual Property"/>
    <tableColumn id="5" name="Shape" dataDxfId="62" dataCellStyle="NodeXL Visual Property"/>
    <tableColumn id="6" name="Size" dataDxfId="61" dataCellStyle="NodeXL Visual Property"/>
    <tableColumn id="4" name="Opacity" dataDxfId="60" dataCellStyle="NodeXL Visual Property"/>
    <tableColumn id="7" name="Image File" dataDxfId="59" dataCellStyle="NodeXL Visual Property"/>
    <tableColumn id="3" name="Visibility" dataDxfId="58" dataCellStyle="NodeXL Visual Property"/>
    <tableColumn id="10" name="Label" dataDxfId="57" dataCellStyle="NodeXL Label"/>
    <tableColumn id="16" name="Label Fill Color" dataDxfId="56" dataCellStyle="NodeXL Label"/>
    <tableColumn id="9" name="Label Position" dataDxfId="55" dataCellStyle="NodeXL Label"/>
    <tableColumn id="8" name="Tooltip" dataDxfId="54" dataCellStyle="NodeXL Label"/>
    <tableColumn id="18" name="Layout Order" dataDxfId="53" dataCellStyle="NodeXL Layout"/>
    <tableColumn id="13" name="X" dataDxfId="52" dataCellStyle="NodeXL Layout"/>
    <tableColumn id="14" name="Y" dataDxfId="51" dataCellStyle="NodeXL Layout"/>
    <tableColumn id="12" name="Locked?" dataDxfId="50" dataCellStyle="NodeXL Layout"/>
    <tableColumn id="19" name="Polar R" dataDxfId="49" dataCellStyle="NodeXL Layout"/>
    <tableColumn id="20" name="Polar Angle" dataDxfId="48" dataCellStyle="NodeXL Layout"/>
    <tableColumn id="11" name="ID" dataDxfId="47" dataCellStyle="NodeXL Do Not Edit"/>
    <tableColumn id="28" name="Dynamic Filter" dataDxfId="46" dataCellStyle="NodeXL Do Not Edit"/>
    <tableColumn id="17" name="Add Your Own Columns Here" dataDxfId="45"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4">
  <autoFilter ref="A2:Q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autoFilter>
  <tableColumns count="17">
    <tableColumn id="1" name="Group" dataDxfId="43" dataCellStyle="NodeXL Required"/>
    <tableColumn id="2" name="Vertex Color" dataDxfId="42" dataCellStyle="NodeXL Visual Property"/>
    <tableColumn id="3" name="Vertex Shape" dataDxfId="41" dataCellStyle="NodeXL Visual Property"/>
    <tableColumn id="4" name="Collapsed?" dataCellStyle="NodeXL Visual Property"/>
    <tableColumn id="6" name="ID" dataDxfId="40" dataCellStyle="NodeXL Do Not Edit"/>
    <tableColumn id="5" name="Vertices" dataDxfId="39" dataCellStyle="NodeXL Graph Metric"/>
    <tableColumn id="7" name="Unique Edges" dataDxfId="38" dataCellStyle="NodeXL Graph Metric"/>
    <tableColumn id="8" name="Edges With Duplicates" dataDxfId="37" dataCellStyle="NodeXL Graph Metric"/>
    <tableColumn id="9" name="Total Edges" dataDxfId="36" dataCellStyle="NodeXL Graph Metric"/>
    <tableColumn id="10" name="Self-Loops" dataDxfId="35" dataCellStyle="NodeXL Graph Metric"/>
    <tableColumn id="11" name="Connected Components" dataDxfId="34" dataCellStyle="NodeXL Graph Metric"/>
    <tableColumn id="12" name="Single-Vertex Connected Components" dataDxfId="33" dataCellStyle="NodeXL Graph Metric"/>
    <tableColumn id="13" name="Maximum Vertices in a Connected Component" dataDxfId="32" dataCellStyle="NodeXL Graph Metric"/>
    <tableColumn id="14" name="Maximum Edges in a Connected Component" dataDxfId="31" dataCellStyle="NodeXL Graph Metric"/>
    <tableColumn id="15" name="Maximum Geodesic Distance (Diameter)" dataDxfId="30" dataCellStyle="NodeXL Graph Metric"/>
    <tableColumn id="16" name="Average Geodesic Distance" dataDxfId="29" dataCellStyle="NodeXL Graph Metric"/>
    <tableColumn id="17" name="Graph Density" dataDxfId="28"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7" dataDxfId="26">
  <autoFilter ref="A1:C2">
    <filterColumn colId="2"/>
  </autoFilter>
  <tableColumns count="3">
    <tableColumn id="1" name="Group" dataDxfId="25"/>
    <tableColumn id="2" name="Vertex" dataDxfId="24"/>
    <tableColumn id="3" name="Vertex ID" dataDxfId="23"/>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C22" totalsRowShown="0" dataCellStyle="NodeXL Graph Metric">
  <autoFilter ref="A1:C22">
    <filterColumn colId="2"/>
  </autoFilter>
  <tableColumns count="3">
    <tableColumn id="1" name="Metric" dataDxfId="22" dataCellStyle="NodeXL Graph Metric"/>
    <tableColumn id="2" name="Value" dataDxfId="21" dataCellStyle="NodeXL Graph Metric"/>
    <tableColumn id="3" name="Comments"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E1:V45" totalsRowShown="0">
  <autoFilter ref="E1:V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E2) - COUNTIF(Vertices[Degree], "&gt;=" &amp; E3)</calculatedColumnFormula>
    </tableColumn>
    <tableColumn id="3" name="In-Degree Bin" dataDxfId="17"/>
    <tableColumn id="4" name="In-Degree Frequency" dataDxfId="16">
      <calculatedColumnFormula>COUNTIF(Vertices[In-Degree], "&gt;= " &amp; G2) - COUNTIF(Vertices[In-Degree], "&gt;=" &amp; G3)</calculatedColumnFormula>
    </tableColumn>
    <tableColumn id="5" name="Out-Degree Bin" dataDxfId="15"/>
    <tableColumn id="6" name="Out-Degree Frequency" dataDxfId="14">
      <calculatedColumnFormula>COUNTIF(Vertices[Out-Degree], "&gt;= " &amp; I2) - COUNTIF(Vertices[Out-Degree], "&gt;=" &amp; I3)</calculatedColumnFormula>
    </tableColumn>
    <tableColumn id="7" name="Betweenness Centrality Bin" dataDxfId="13"/>
    <tableColumn id="8" name="Betweenness Centrality Frequency" dataDxfId="12">
      <calculatedColumnFormula>COUNTIF(Vertices[Betweenness Centrality], "&gt;= " &amp; K2) - COUNTIF(Vertices[Betweenness Centrality], "&gt;=" &amp; K3)</calculatedColumnFormula>
    </tableColumn>
    <tableColumn id="9" name="Closeness Centrality Bin" dataDxfId="11"/>
    <tableColumn id="10" name="Closeness Centrality Frequency" dataDxfId="10">
      <calculatedColumnFormula>COUNTIF(Vertices[Closeness Centrality], "&gt;= " &amp; M2) - COUNTIF(Vertices[Closeness Centrality], "&gt;=" &amp; M3)</calculatedColumnFormula>
    </tableColumn>
    <tableColumn id="11" name="Eigenvector Centrality Bin" dataDxfId="9"/>
    <tableColumn id="12" name="Eigenvector Centrality Frequency" dataDxfId="8">
      <calculatedColumnFormula>COUNTIF(Vertices[Eigenvector Centrality], "&gt;= " &amp; O2) - COUNTIF(Vertices[Eigenvector Centrality], "&gt;=" &amp; O3)</calculatedColumnFormula>
    </tableColumn>
    <tableColumn id="18" name="PageRank Bin" dataDxfId="7"/>
    <tableColumn id="17" name="PageRank Frequency" dataDxfId="6">
      <calculatedColumnFormula>COUNTIF(Vertices[Eigenvector Centrality], "&gt;= " &amp; Q2) - COUNTIF(Vertices[Eigenvector Centrality], "&gt;=" &amp; Q3)</calculatedColumnFormula>
    </tableColumn>
    <tableColumn id="13" name="Clustering Coefficient Bin" dataDxfId="5"/>
    <tableColumn id="14" name="Clustering Coefficient Frequency" dataDxfId="4">
      <calculatedColumnFormula>COUNTIF(Vertices[Clustering Coefficient], "&gt;= " &amp; S2) - COUNTIF(Vertices[Clustering Coefficient], "&gt;=" &amp; S3)</calculatedColumnFormula>
    </tableColumn>
    <tableColumn id="15" name="Dynamic Filter Bin" dataDxfId="3"/>
    <tableColumn id="16" name="Dynamic Filter Frequency" dataDxfId="2">
      <calculatedColumnFormula>COUNTIF(Vertices[Clustering Coefficient], "&gt;= " &amp; U2) - COUNTIF(Vertices[Clustering Coefficient], "&gt;=" &amp; U3)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X1:Y4" totalsRowShown="0">
  <autoFilter ref="X1:Y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7" name="PerWorkbookSettings" displayName="PerWorkbookSettings" ref="H1:I18" totalsRowShown="0" headerRowDxfId="1">
  <autoFilter ref="H1:I18"/>
  <tableColumns count="2">
    <tableColumn id="1" name="Per-Workbook Setting"/>
    <tableColumn id="2" name="Value"/>
  </tableColumns>
  <tableStyleInfo name="TableStyleMedium9" showFirstColumn="0" showLastColumn="0" showRowStripes="1" showColumnStripes="0"/>
</table>
</file>

<file path=xl/tables/table9.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sheetPr codeName="Sheet1"/>
  <dimension ref="A1:L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7.85546875" style="1" customWidth="1"/>
    <col min="9" max="9" width="5" style="3" hidden="1" customWidth="1"/>
    <col min="10" max="10" width="16" style="3" hidden="1" customWidth="1"/>
    <col min="11" max="11" width="29.28515625" bestFit="1" customWidth="1"/>
    <col min="12" max="13" width="9.140625" customWidth="1"/>
  </cols>
  <sheetData>
    <row r="1" spans="1:11">
      <c r="C1" s="23" t="s">
        <v>49</v>
      </c>
      <c r="D1" s="24"/>
      <c r="E1" s="24"/>
      <c r="F1" s="24"/>
      <c r="G1" s="23"/>
      <c r="H1" s="21" t="s">
        <v>56</v>
      </c>
      <c r="I1" s="25" t="s">
        <v>50</v>
      </c>
      <c r="J1" s="25"/>
      <c r="K1" s="22" t="s">
        <v>51</v>
      </c>
    </row>
    <row r="2" spans="1:11">
      <c r="A2" s="1" t="s">
        <v>0</v>
      </c>
      <c r="B2" s="1" t="s">
        <v>1</v>
      </c>
      <c r="C2" t="s">
        <v>2</v>
      </c>
      <c r="D2" t="s">
        <v>3</v>
      </c>
      <c r="E2" t="s">
        <v>145</v>
      </c>
      <c r="F2" t="s">
        <v>4</v>
      </c>
      <c r="G2" t="s">
        <v>11</v>
      </c>
      <c r="H2" s="1" t="s">
        <v>56</v>
      </c>
      <c r="I2" t="s">
        <v>12</v>
      </c>
      <c r="J2" t="s">
        <v>46</v>
      </c>
      <c r="K2" t="s">
        <v>27</v>
      </c>
    </row>
    <row r="3" spans="1:11" ht="15" customHeight="1">
      <c r="A3" s="17"/>
      <c r="B3" s="17"/>
      <c r="C3" s="18"/>
      <c r="D3" s="19"/>
      <c r="E3" s="55"/>
      <c r="F3" s="20"/>
      <c r="G3" s="18"/>
      <c r="H3" s="21"/>
      <c r="I3" s="15"/>
      <c r="J3" s="15"/>
      <c r="K3" s="16"/>
    </row>
    <row r="4" spans="1:11" ht="15" customHeight="1"/>
    <row r="23" spans="12:12">
      <c r="L23" s="7"/>
    </row>
  </sheetData>
  <dataConsolidate/>
  <dataValidations count="11">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ErrorMessage="1" sqref="K2:K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J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29" t="s">
        <v>52</v>
      </c>
      <c r="C1" s="26"/>
      <c r="D1" s="27"/>
      <c r="E1" s="28"/>
      <c r="F1" s="26"/>
      <c r="G1" s="26"/>
      <c r="H1" s="26"/>
      <c r="I1" s="26"/>
      <c r="J1" s="30" t="s">
        <v>49</v>
      </c>
      <c r="K1" s="23"/>
      <c r="L1" s="23"/>
      <c r="M1" s="23"/>
      <c r="N1" s="23"/>
      <c r="O1" s="23"/>
      <c r="P1" s="32" t="s">
        <v>53</v>
      </c>
      <c r="Q1" s="31"/>
      <c r="R1" s="31"/>
      <c r="S1" s="31"/>
      <c r="T1" s="34" t="s">
        <v>54</v>
      </c>
      <c r="U1" s="33"/>
      <c r="V1" s="33"/>
      <c r="W1" s="33"/>
      <c r="X1" s="33"/>
      <c r="Y1" s="33"/>
      <c r="Z1" s="35" t="s">
        <v>50</v>
      </c>
      <c r="AA1" s="25"/>
      <c r="AB1" s="36" t="s">
        <v>51</v>
      </c>
    </row>
    <row r="2" spans="1:30" ht="30" customHeight="1">
      <c r="A2" s="11" t="s">
        <v>5</v>
      </c>
      <c r="B2" s="14" t="s">
        <v>34</v>
      </c>
      <c r="C2" s="14" t="s">
        <v>35</v>
      </c>
      <c r="D2" s="14" t="s">
        <v>36</v>
      </c>
      <c r="E2" s="14" t="s">
        <v>37</v>
      </c>
      <c r="F2" s="14" t="s">
        <v>38</v>
      </c>
      <c r="G2" s="14" t="s">
        <v>39</v>
      </c>
      <c r="H2" s="14" t="s">
        <v>152</v>
      </c>
      <c r="I2" s="14" t="s">
        <v>40</v>
      </c>
      <c r="J2" s="8" t="s">
        <v>2</v>
      </c>
      <c r="K2" s="8" t="s">
        <v>8</v>
      </c>
      <c r="L2" s="9" t="s">
        <v>55</v>
      </c>
      <c r="M2" s="10" t="s">
        <v>4</v>
      </c>
      <c r="N2" s="8" t="s">
        <v>58</v>
      </c>
      <c r="O2" s="8" t="s">
        <v>11</v>
      </c>
      <c r="P2" s="8" t="s">
        <v>56</v>
      </c>
      <c r="Q2" s="8" t="s">
        <v>57</v>
      </c>
      <c r="R2" s="8" t="s">
        <v>87</v>
      </c>
      <c r="S2" s="8" t="s">
        <v>10</v>
      </c>
      <c r="T2" s="8" t="s">
        <v>28</v>
      </c>
      <c r="U2" s="8" t="s">
        <v>15</v>
      </c>
      <c r="V2" s="8" t="s">
        <v>16</v>
      </c>
      <c r="W2" s="8" t="s">
        <v>13</v>
      </c>
      <c r="X2" s="8" t="s">
        <v>29</v>
      </c>
      <c r="Y2" s="8" t="s">
        <v>30</v>
      </c>
      <c r="Z2" s="11" t="s">
        <v>12</v>
      </c>
      <c r="AA2" s="11" t="s">
        <v>46</v>
      </c>
      <c r="AB2" s="8" t="s">
        <v>27</v>
      </c>
      <c r="AC2" s="3"/>
      <c r="AD2" s="3"/>
    </row>
    <row r="3" spans="1:30" ht="15" customHeight="1">
      <c r="A3" s="56"/>
      <c r="B3" s="57"/>
      <c r="C3" s="57"/>
      <c r="D3" s="57"/>
      <c r="E3" s="57"/>
      <c r="F3" s="58"/>
      <c r="G3" s="58"/>
      <c r="H3" s="59"/>
      <c r="I3" s="58"/>
      <c r="J3" s="60"/>
      <c r="K3" s="60"/>
      <c r="L3" s="61"/>
      <c r="M3" s="62"/>
      <c r="N3" s="60"/>
      <c r="O3" s="60"/>
      <c r="P3" s="64"/>
      <c r="Q3" s="63"/>
      <c r="R3" s="63"/>
      <c r="S3" s="64"/>
      <c r="T3" s="66"/>
      <c r="U3" s="67"/>
      <c r="V3" s="67"/>
      <c r="W3" s="65"/>
      <c r="X3" s="68"/>
      <c r="Y3" s="68"/>
      <c r="Z3" s="69"/>
      <c r="AA3" s="69"/>
      <c r="AB3" s="70"/>
      <c r="AC3" s="3"/>
      <c r="AD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
    <dataValidation allowBlank="1" showInputMessage="1" errorTitle="Invalid Vertex Image Key" promptTitle="Vertex Tooltip" prompt="Enter optional text that will pop up when the mouse is hovered over the vertex." sqref="S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
    <dataValidation allowBlank="1" showInputMessage="1" promptTitle="Vertex Label Fill Color" prompt="To select an optional fill color for the Label shape, right-click and select Select Color on the right-click menu." sqref="Q3"/>
    <dataValidation allowBlank="1" showInputMessage="1" errorTitle="Invalid Vertex Image Key" promptTitle="Image File" prompt="Enter the path to an image file.  Hover over the column header for examples." sqref="N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J3"/>
    <dataValidation allowBlank="1" showInputMessage="1" errorTitle="Invalid Vertex Opacity" error="The optional vertex opacity must be a whole number between 0 and 10." promptTitle="Vertex Opacity" prompt="Enter an optional vertex opacity between 0 (transparent) and 100 (opaque)." sqref="M3"/>
    <dataValidation type="list" allowBlank="1" showInputMessage="1" showErrorMessage="1" errorTitle="Unrecognized Vertex Shape" error="You have entered an unrecognized vertex shape.  Try selecting from the drop-down list instead." promptTitle="Vertex Shape" prompt="Select an optional vertex shape." sqref="K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59</v>
      </c>
    </row>
    <row r="2" spans="1:1" ht="15" customHeight="1"/>
    <row r="3" spans="1:1" ht="15" customHeight="1">
      <c r="A3" s="37" t="s">
        <v>60</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Q10"/>
  <sheetViews>
    <sheetView workbookViewId="0">
      <selection activeCell="A3" sqref="A3"/>
    </sheetView>
  </sheetViews>
  <sheetFormatPr defaultRowHeight="1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c r="B1" s="18" t="s">
        <v>49</v>
      </c>
      <c r="C1" s="18"/>
      <c r="D1" s="18"/>
      <c r="E1" s="71" t="s">
        <v>50</v>
      </c>
      <c r="F1" s="40" t="s">
        <v>52</v>
      </c>
      <c r="G1" s="40"/>
      <c r="H1" s="40"/>
      <c r="I1" s="40"/>
      <c r="J1" s="40"/>
      <c r="K1" s="40"/>
      <c r="L1" s="40"/>
      <c r="M1" s="40"/>
      <c r="N1" s="40"/>
      <c r="O1" s="40"/>
      <c r="P1" s="40"/>
      <c r="Q1" s="40"/>
    </row>
    <row r="2" spans="1:17" s="14" customFormat="1" ht="30" customHeight="1">
      <c r="A2" s="11" t="s">
        <v>159</v>
      </c>
      <c r="B2" s="14" t="s">
        <v>22</v>
      </c>
      <c r="C2" s="14" t="s">
        <v>21</v>
      </c>
      <c r="D2" s="14" t="s">
        <v>160</v>
      </c>
      <c r="E2" s="14" t="s">
        <v>12</v>
      </c>
      <c r="F2" s="14" t="s">
        <v>161</v>
      </c>
      <c r="G2" s="14" t="s">
        <v>165</v>
      </c>
      <c r="H2" s="14" t="s">
        <v>166</v>
      </c>
      <c r="I2" s="14" t="s">
        <v>167</v>
      </c>
      <c r="J2" s="14" t="s">
        <v>168</v>
      </c>
      <c r="K2" s="14" t="s">
        <v>169</v>
      </c>
      <c r="L2" s="14" t="s">
        <v>170</v>
      </c>
      <c r="M2" s="14" t="s">
        <v>171</v>
      </c>
      <c r="N2" s="14" t="s">
        <v>172</v>
      </c>
      <c r="O2" s="14" t="s">
        <v>173</v>
      </c>
      <c r="P2" s="14" t="s">
        <v>174</v>
      </c>
      <c r="Q2" s="14" t="s">
        <v>175</v>
      </c>
    </row>
    <row r="3" spans="1:17">
      <c r="A3" s="17"/>
      <c r="B3" s="18"/>
      <c r="C3" s="18"/>
      <c r="D3" s="18"/>
      <c r="E3" s="71"/>
      <c r="F3" s="53"/>
      <c r="G3" s="53"/>
      <c r="H3" s="53"/>
      <c r="I3" s="53"/>
      <c r="J3" s="53"/>
      <c r="K3" s="53"/>
      <c r="L3" s="53"/>
      <c r="M3" s="53"/>
      <c r="N3" s="53"/>
      <c r="O3" s="53"/>
      <c r="P3" s="54"/>
      <c r="Q3" s="54"/>
    </row>
    <row r="10" spans="1:17" ht="14.25" customHeight="1"/>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ValidVertexShapes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C2"/>
  <sheetViews>
    <sheetView workbookViewId="0">
      <selection activeCell="A2" sqref="A2"/>
    </sheetView>
  </sheetViews>
  <sheetFormatPr defaultRowHeight="15"/>
  <cols>
    <col min="1" max="1" width="9.42578125" style="1" bestFit="1" customWidth="1"/>
    <col min="2" max="2" width="9.140625" style="1"/>
    <col min="3" max="3" width="11.5703125" bestFit="1" customWidth="1"/>
    <col min="4" max="4" width="9.140625" customWidth="1"/>
  </cols>
  <sheetData>
    <row r="1" spans="1:3">
      <c r="A1" s="1" t="s">
        <v>159</v>
      </c>
      <c r="B1" s="1" t="s">
        <v>5</v>
      </c>
      <c r="C1" s="1" t="s">
        <v>162</v>
      </c>
    </row>
    <row r="2" spans="1:3">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sheetPr codeName="Sheet7"/>
  <dimension ref="A1:Y134"/>
  <sheetViews>
    <sheetView workbookViewId="0">
      <selection activeCell="A2" sqref="A2"/>
    </sheetView>
  </sheetViews>
  <sheetFormatPr defaultRowHeight="15"/>
  <cols>
    <col min="1" max="1" width="43.140625" customWidth="1"/>
    <col min="2" max="2" width="13.85546875" customWidth="1"/>
    <col min="3" max="3" width="69.28515625" customWidth="1"/>
    <col min="4" max="4" width="9.140625" customWidth="1"/>
    <col min="5" max="5" width="12.85546875" hidden="1" customWidth="1"/>
    <col min="6" max="6" width="19.7109375" hidden="1" customWidth="1"/>
    <col min="7" max="7" width="15.5703125" hidden="1" customWidth="1"/>
    <col min="8" max="8" width="22.140625" hidden="1" customWidth="1"/>
    <col min="9" max="9" width="17.140625" hidden="1" customWidth="1"/>
    <col min="10" max="10" width="23.85546875" hidden="1" customWidth="1"/>
    <col min="11" max="11" width="28.28515625" hidden="1" customWidth="1"/>
    <col min="12" max="12" width="34.85546875" hidden="1" customWidth="1"/>
    <col min="13" max="13" width="25" hidden="1" customWidth="1"/>
    <col min="14" max="14" width="31.5703125" hidden="1" customWidth="1"/>
    <col min="15" max="15" width="26.5703125" hidden="1" customWidth="1"/>
    <col min="16" max="18" width="33.28515625" hidden="1" customWidth="1"/>
    <col min="19" max="19" width="26.5703125" hidden="1" customWidth="1"/>
    <col min="20" max="20" width="33" hidden="1" customWidth="1"/>
    <col min="21" max="21" width="19.5703125" hidden="1" customWidth="1"/>
    <col min="22" max="22" width="26.140625" hidden="1" customWidth="1"/>
    <col min="23" max="23" width="9.140625" hidden="1" customWidth="1"/>
    <col min="24" max="24" width="34.140625" hidden="1" customWidth="1"/>
    <col min="25" max="25" width="25.140625" hidden="1" customWidth="1"/>
  </cols>
  <sheetData>
    <row r="1" spans="1:25" ht="15" customHeight="1" thickBot="1">
      <c r="A1" s="14" t="s">
        <v>17</v>
      </c>
      <c r="B1" s="14" t="s">
        <v>18</v>
      </c>
      <c r="C1" t="s">
        <v>92</v>
      </c>
      <c r="E1" t="s">
        <v>93</v>
      </c>
      <c r="F1" t="s">
        <v>94</v>
      </c>
      <c r="G1" s="42" t="s">
        <v>101</v>
      </c>
      <c r="H1" s="43" t="s">
        <v>102</v>
      </c>
      <c r="I1" s="42" t="s">
        <v>107</v>
      </c>
      <c r="J1" s="43" t="s">
        <v>108</v>
      </c>
      <c r="K1" s="42" t="s">
        <v>113</v>
      </c>
      <c r="L1" s="43" t="s">
        <v>114</v>
      </c>
      <c r="M1" s="42" t="s">
        <v>119</v>
      </c>
      <c r="N1" s="43" t="s">
        <v>120</v>
      </c>
      <c r="O1" s="42" t="s">
        <v>125</v>
      </c>
      <c r="P1" s="43" t="s">
        <v>126</v>
      </c>
      <c r="Q1" s="43" t="s">
        <v>153</v>
      </c>
      <c r="R1" s="43" t="s">
        <v>154</v>
      </c>
      <c r="S1" s="42" t="s">
        <v>131</v>
      </c>
      <c r="T1" s="42" t="s">
        <v>132</v>
      </c>
      <c r="U1" s="42" t="s">
        <v>137</v>
      </c>
      <c r="V1" s="43" t="s">
        <v>138</v>
      </c>
      <c r="X1" t="s">
        <v>142</v>
      </c>
      <c r="Y1" t="s">
        <v>18</v>
      </c>
    </row>
    <row r="2" spans="1:25" ht="15.75" thickTop="1">
      <c r="A2" s="41"/>
      <c r="B2" s="41"/>
      <c r="C2" s="41"/>
      <c r="E2" s="38">
        <f>MIN(Vertices[Degree])</f>
        <v>0</v>
      </c>
      <c r="F2" s="3">
        <f>COUNTIF(Vertices[Degree], "&gt;= " &amp; E2) - COUNTIF(Vertices[Degree], "&gt;=" &amp; E3)</f>
        <v>0</v>
      </c>
      <c r="G2" s="44">
        <f>MIN(Vertices[In-Degree])</f>
        <v>0</v>
      </c>
      <c r="H2" s="45">
        <f>COUNTIF(Vertices[In-Degree], "&gt;= " &amp; G2) - COUNTIF(Vertices[In-Degree], "&gt;=" &amp; G3)</f>
        <v>0</v>
      </c>
      <c r="I2" s="44">
        <f>MIN(Vertices[Out-Degree])</f>
        <v>0</v>
      </c>
      <c r="J2" s="45">
        <f>COUNTIF(Vertices[Out-Degree], "&gt;= " &amp; I2) - COUNTIF(Vertices[Out-Degree], "&gt;=" &amp; I3)</f>
        <v>0</v>
      </c>
      <c r="K2" s="44">
        <f>MIN(Vertices[Betweenness Centrality])</f>
        <v>0</v>
      </c>
      <c r="L2" s="45">
        <f>COUNTIF(Vertices[Betweenness Centrality], "&gt;= " &amp; K2) - COUNTIF(Vertices[Betweenness Centrality], "&gt;=" &amp; K3)</f>
        <v>0</v>
      </c>
      <c r="M2" s="44">
        <f>MIN(Vertices[Closeness Centrality])</f>
        <v>0</v>
      </c>
      <c r="N2" s="45">
        <f>COUNTIF(Vertices[Closeness Centrality], "&gt;= " &amp; M2) - COUNTIF(Vertices[Closeness Centrality], "&gt;=" &amp; M3)</f>
        <v>0</v>
      </c>
      <c r="O2" s="44">
        <f>MIN(Vertices[Eigenvector Centrality])</f>
        <v>0</v>
      </c>
      <c r="P2" s="45">
        <f>COUNTIF(Vertices[Eigenvector Centrality], "&gt;= " &amp; O2) - COUNTIF(Vertices[Eigenvector Centrality], "&gt;=" &amp; O3)</f>
        <v>0</v>
      </c>
      <c r="Q2" s="44">
        <f>MIN(Vertices[PageRank])</f>
        <v>0</v>
      </c>
      <c r="R2" s="45">
        <f>COUNTIF(Vertices[PageRank], "&gt;= " &amp; Q2) - COUNTIF(Vertices[PageRank], "&gt;=" &amp; Q3)</f>
        <v>0</v>
      </c>
      <c r="S2" s="44">
        <f>MIN(Vertices[Clustering Coefficient])</f>
        <v>0</v>
      </c>
      <c r="T2" s="50">
        <f>COUNTIF(Vertices[Clustering Coefficient], "&gt;= " &amp; S2) - COUNTIF(Vertices[Clustering Coefficient], "&gt;=" &amp; S3)</f>
        <v>0</v>
      </c>
      <c r="U2" s="44" t="e">
        <f ca="1">MIN(INDIRECT(DynamicFilterSourceColumnRange))</f>
        <v>#REF!</v>
      </c>
      <c r="V2" s="45" t="e">
        <f t="shared" ref="V2:V45" ca="1" si="0">COUNTIF(INDIRECT(DynamicFilterSourceColumnRange), "&gt;= " &amp; U2) - COUNTIF(INDIRECT(DynamicFilterSourceColumnRange), "&gt;=" &amp; U3)</f>
        <v>#REF!</v>
      </c>
      <c r="X2" t="s">
        <v>139</v>
      </c>
      <c r="Y2">
        <f>ROWS(HistogramBins[Degree Bin]) - 1</f>
        <v>43</v>
      </c>
    </row>
    <row r="3" spans="1:25">
      <c r="A3" s="41"/>
      <c r="B3" s="41"/>
      <c r="C3" s="41"/>
      <c r="E3" s="39">
        <f t="shared" ref="E3:E44" si="1">E2+($E$45-$E$2)/BinDivisor</f>
        <v>0</v>
      </c>
      <c r="F3" s="3">
        <f>COUNTIF(Vertices[Degree], "&gt;= " &amp; E3) - COUNTIF(Vertices[Degree], "&gt;=" &amp; E4)</f>
        <v>0</v>
      </c>
      <c r="G3" s="46">
        <f t="shared" ref="G3:G44" si="2">G2+($G$45-$G$2)/BinDivisor</f>
        <v>0</v>
      </c>
      <c r="H3" s="47">
        <f>COUNTIF(Vertices[In-Degree], "&gt;= " &amp; G3) - COUNTIF(Vertices[In-Degree], "&gt;=" &amp; G4)</f>
        <v>0</v>
      </c>
      <c r="I3" s="46">
        <f t="shared" ref="I3:I44" si="3">I2+($I$45-$I$2)/BinDivisor</f>
        <v>0</v>
      </c>
      <c r="J3" s="47">
        <f>COUNTIF(Vertices[Out-Degree], "&gt;= " &amp; I3) - COUNTIF(Vertices[Out-Degree], "&gt;=" &amp; I4)</f>
        <v>0</v>
      </c>
      <c r="K3" s="46">
        <f t="shared" ref="K3:K44" si="4">K2+($K$45-$K$2)/BinDivisor</f>
        <v>0</v>
      </c>
      <c r="L3" s="47">
        <f>COUNTIF(Vertices[Betweenness Centrality], "&gt;= " &amp; K3) - COUNTIF(Vertices[Betweenness Centrality], "&gt;=" &amp; K4)</f>
        <v>0</v>
      </c>
      <c r="M3" s="46">
        <f t="shared" ref="M3:M44" si="5">M2+($M$45-$M$2)/BinDivisor</f>
        <v>0</v>
      </c>
      <c r="N3" s="47">
        <f>COUNTIF(Vertices[Closeness Centrality], "&gt;= " &amp; M3) - COUNTIF(Vertices[Closeness Centrality], "&gt;=" &amp; M4)</f>
        <v>0</v>
      </c>
      <c r="O3" s="46">
        <f t="shared" ref="O3:O44" si="6">O2+($O$45-$O$2)/BinDivisor</f>
        <v>0</v>
      </c>
      <c r="P3" s="47">
        <f>COUNTIF(Vertices[Eigenvector Centrality], "&gt;= " &amp; O3) - COUNTIF(Vertices[Eigenvector Centrality], "&gt;=" &amp; O4)</f>
        <v>0</v>
      </c>
      <c r="Q3" s="46">
        <f t="shared" ref="Q3:Q44" si="7">Q2+($Q$45-$Q$2)/BinDivisor</f>
        <v>0</v>
      </c>
      <c r="R3" s="47">
        <f>COUNTIF(Vertices[PageRank], "&gt;= " &amp; Q3) - COUNTIF(Vertices[PageRank], "&gt;=" &amp; Q4)</f>
        <v>0</v>
      </c>
      <c r="S3" s="46">
        <f t="shared" ref="S3:S44" si="8">S2+($S$45-$S$2)/BinDivisor</f>
        <v>0</v>
      </c>
      <c r="T3" s="51">
        <f>COUNTIF(Vertices[Clustering Coefficient], "&gt;= " &amp; S3) - COUNTIF(Vertices[Clustering Coefficient], "&gt;=" &amp; S4)</f>
        <v>0</v>
      </c>
      <c r="U3" s="46" t="e">
        <f t="shared" ref="U3:U44" ca="1" si="9">U2+($U$45-$U$2)/BinDivisor</f>
        <v>#REF!</v>
      </c>
      <c r="V3" s="47" t="e">
        <f t="shared" ca="1" si="0"/>
        <v>#REF!</v>
      </c>
      <c r="X3" t="s">
        <v>140</v>
      </c>
      <c r="Y3" t="s">
        <v>99</v>
      </c>
    </row>
    <row r="4" spans="1:25">
      <c r="A4" s="41"/>
      <c r="B4" s="41"/>
      <c r="C4" s="41"/>
      <c r="E4" s="39">
        <f t="shared" si="1"/>
        <v>0</v>
      </c>
      <c r="F4" s="3">
        <f>COUNTIF(Vertices[Degree], "&gt;= " &amp; E4) - COUNTIF(Vertices[Degree], "&gt;=" &amp; E5)</f>
        <v>0</v>
      </c>
      <c r="G4" s="44">
        <f t="shared" si="2"/>
        <v>0</v>
      </c>
      <c r="H4" s="45">
        <f>COUNTIF(Vertices[In-Degree], "&gt;= " &amp; G4) - COUNTIF(Vertices[In-Degree], "&gt;=" &amp; G5)</f>
        <v>0</v>
      </c>
      <c r="I4" s="44">
        <f t="shared" si="3"/>
        <v>0</v>
      </c>
      <c r="J4" s="45">
        <f>COUNTIF(Vertices[Out-Degree], "&gt;= " &amp; I4) - COUNTIF(Vertices[Out-Degree], "&gt;=" &amp; I5)</f>
        <v>0</v>
      </c>
      <c r="K4" s="44">
        <f t="shared" si="4"/>
        <v>0</v>
      </c>
      <c r="L4" s="45">
        <f>COUNTIF(Vertices[Betweenness Centrality], "&gt;= " &amp; K4) - COUNTIF(Vertices[Betweenness Centrality], "&gt;=" &amp; K5)</f>
        <v>0</v>
      </c>
      <c r="M4" s="44">
        <f t="shared" si="5"/>
        <v>0</v>
      </c>
      <c r="N4" s="45">
        <f>COUNTIF(Vertices[Closeness Centrality], "&gt;= " &amp; M4) - COUNTIF(Vertices[Closeness Centrality], "&gt;=" &amp; M5)</f>
        <v>0</v>
      </c>
      <c r="O4" s="44">
        <f t="shared" si="6"/>
        <v>0</v>
      </c>
      <c r="P4" s="45">
        <f>COUNTIF(Vertices[Eigenvector Centrality], "&gt;= " &amp; O4) - COUNTIF(Vertices[Eigenvector Centrality], "&gt;=" &amp; O5)</f>
        <v>0</v>
      </c>
      <c r="Q4" s="44">
        <f t="shared" si="7"/>
        <v>0</v>
      </c>
      <c r="R4" s="45">
        <f>COUNTIF(Vertices[PageRank], "&gt;= " &amp; Q4) - COUNTIF(Vertices[PageRank], "&gt;=" &amp; Q5)</f>
        <v>0</v>
      </c>
      <c r="S4" s="44">
        <f t="shared" si="8"/>
        <v>0</v>
      </c>
      <c r="T4" s="50">
        <f>COUNTIF(Vertices[Clustering Coefficient], "&gt;= " &amp; S4) - COUNTIF(Vertices[Clustering Coefficient], "&gt;=" &amp; S5)</f>
        <v>0</v>
      </c>
      <c r="U4" s="44" t="e">
        <f t="shared" ca="1" si="9"/>
        <v>#REF!</v>
      </c>
      <c r="V4" s="45" t="e">
        <f t="shared" ca="1" si="0"/>
        <v>#REF!</v>
      </c>
      <c r="X4" s="12" t="s">
        <v>141</v>
      </c>
      <c r="Y4" s="12" t="s">
        <v>143</v>
      </c>
    </row>
    <row r="5" spans="1:25">
      <c r="A5" s="41"/>
      <c r="B5" s="41"/>
      <c r="C5" s="41"/>
      <c r="E5" s="39">
        <f t="shared" si="1"/>
        <v>0</v>
      </c>
      <c r="F5" s="3">
        <f>COUNTIF(Vertices[Degree], "&gt;= " &amp; E5) - COUNTIF(Vertices[Degree], "&gt;=" &amp; E6)</f>
        <v>0</v>
      </c>
      <c r="G5" s="46">
        <f t="shared" si="2"/>
        <v>0</v>
      </c>
      <c r="H5" s="47">
        <f>COUNTIF(Vertices[In-Degree], "&gt;= " &amp; G5) - COUNTIF(Vertices[In-Degree], "&gt;=" &amp; G6)</f>
        <v>0</v>
      </c>
      <c r="I5" s="46">
        <f t="shared" si="3"/>
        <v>0</v>
      </c>
      <c r="J5" s="47">
        <f>COUNTIF(Vertices[Out-Degree], "&gt;= " &amp; I5) - COUNTIF(Vertices[Out-Degree], "&gt;=" &amp; I6)</f>
        <v>0</v>
      </c>
      <c r="K5" s="46">
        <f t="shared" si="4"/>
        <v>0</v>
      </c>
      <c r="L5" s="47">
        <f>COUNTIF(Vertices[Betweenness Centrality], "&gt;= " &amp; K5) - COUNTIF(Vertices[Betweenness Centrality], "&gt;=" &amp; K6)</f>
        <v>0</v>
      </c>
      <c r="M5" s="46">
        <f t="shared" si="5"/>
        <v>0</v>
      </c>
      <c r="N5" s="47">
        <f>COUNTIF(Vertices[Closeness Centrality], "&gt;= " &amp; M5) - COUNTIF(Vertices[Closeness Centrality], "&gt;=" &amp; M6)</f>
        <v>0</v>
      </c>
      <c r="O5" s="46">
        <f t="shared" si="6"/>
        <v>0</v>
      </c>
      <c r="P5" s="47">
        <f>COUNTIF(Vertices[Eigenvector Centrality], "&gt;= " &amp; O5) - COUNTIF(Vertices[Eigenvector Centrality], "&gt;=" &amp; O6)</f>
        <v>0</v>
      </c>
      <c r="Q5" s="46">
        <f t="shared" si="7"/>
        <v>0</v>
      </c>
      <c r="R5" s="47">
        <f>COUNTIF(Vertices[PageRank], "&gt;= " &amp; Q5) - COUNTIF(Vertices[PageRank], "&gt;=" &amp; Q6)</f>
        <v>0</v>
      </c>
      <c r="S5" s="46">
        <f t="shared" si="8"/>
        <v>0</v>
      </c>
      <c r="T5" s="51">
        <f>COUNTIF(Vertices[Clustering Coefficient], "&gt;= " &amp; S5) - COUNTIF(Vertices[Clustering Coefficient], "&gt;=" &amp; S6)</f>
        <v>0</v>
      </c>
      <c r="U5" s="46" t="e">
        <f t="shared" ca="1" si="9"/>
        <v>#REF!</v>
      </c>
      <c r="V5" s="47" t="e">
        <f t="shared" ca="1" si="0"/>
        <v>#REF!</v>
      </c>
    </row>
    <row r="6" spans="1:25">
      <c r="A6" s="41"/>
      <c r="B6" s="41"/>
      <c r="C6" s="41"/>
      <c r="E6" s="39">
        <f t="shared" si="1"/>
        <v>0</v>
      </c>
      <c r="F6" s="3">
        <f>COUNTIF(Vertices[Degree], "&gt;= " &amp; E6) - COUNTIF(Vertices[Degree], "&gt;=" &amp; E7)</f>
        <v>0</v>
      </c>
      <c r="G6" s="44">
        <f t="shared" si="2"/>
        <v>0</v>
      </c>
      <c r="H6" s="45">
        <f>COUNTIF(Vertices[In-Degree], "&gt;= " &amp; G6) - COUNTIF(Vertices[In-Degree], "&gt;=" &amp; G7)</f>
        <v>0</v>
      </c>
      <c r="I6" s="44">
        <f t="shared" si="3"/>
        <v>0</v>
      </c>
      <c r="J6" s="45">
        <f>COUNTIF(Vertices[Out-Degree], "&gt;= " &amp; I6) - COUNTIF(Vertices[Out-Degree], "&gt;=" &amp; I7)</f>
        <v>0</v>
      </c>
      <c r="K6" s="44">
        <f t="shared" si="4"/>
        <v>0</v>
      </c>
      <c r="L6" s="45">
        <f>COUNTIF(Vertices[Betweenness Centrality], "&gt;= " &amp; K6) - COUNTIF(Vertices[Betweenness Centrality], "&gt;=" &amp; K7)</f>
        <v>0</v>
      </c>
      <c r="M6" s="44">
        <f t="shared" si="5"/>
        <v>0</v>
      </c>
      <c r="N6" s="45">
        <f>COUNTIF(Vertices[Closeness Centrality], "&gt;= " &amp; M6) - COUNTIF(Vertices[Closeness Centrality], "&gt;=" &amp; M7)</f>
        <v>0</v>
      </c>
      <c r="O6" s="44">
        <f t="shared" si="6"/>
        <v>0</v>
      </c>
      <c r="P6" s="45">
        <f>COUNTIF(Vertices[Eigenvector Centrality], "&gt;= " &amp; O6) - COUNTIF(Vertices[Eigenvector Centrality], "&gt;=" &amp; O7)</f>
        <v>0</v>
      </c>
      <c r="Q6" s="44">
        <f t="shared" si="7"/>
        <v>0</v>
      </c>
      <c r="R6" s="45">
        <f>COUNTIF(Vertices[PageRank], "&gt;= " &amp; Q6) - COUNTIF(Vertices[PageRank], "&gt;=" &amp; Q7)</f>
        <v>0</v>
      </c>
      <c r="S6" s="44">
        <f t="shared" si="8"/>
        <v>0</v>
      </c>
      <c r="T6" s="50">
        <f>COUNTIF(Vertices[Clustering Coefficient], "&gt;= " &amp; S6) - COUNTIF(Vertices[Clustering Coefficient], "&gt;=" &amp; S7)</f>
        <v>0</v>
      </c>
      <c r="U6" s="44" t="e">
        <f t="shared" ca="1" si="9"/>
        <v>#REF!</v>
      </c>
      <c r="V6" s="45" t="e">
        <f t="shared" ca="1" si="0"/>
        <v>#REF!</v>
      </c>
    </row>
    <row r="7" spans="1:25">
      <c r="A7" s="41"/>
      <c r="B7" s="41"/>
      <c r="C7" s="41"/>
      <c r="E7" s="39">
        <f t="shared" si="1"/>
        <v>0</v>
      </c>
      <c r="F7" s="3">
        <f>COUNTIF(Vertices[Degree], "&gt;= " &amp; E7) - COUNTIF(Vertices[Degree], "&gt;=" &amp; E8)</f>
        <v>0</v>
      </c>
      <c r="G7" s="46">
        <f t="shared" si="2"/>
        <v>0</v>
      </c>
      <c r="H7" s="47">
        <f>COUNTIF(Vertices[In-Degree], "&gt;= " &amp; G7) - COUNTIF(Vertices[In-Degree], "&gt;=" &amp; G8)</f>
        <v>0</v>
      </c>
      <c r="I7" s="46">
        <f t="shared" si="3"/>
        <v>0</v>
      </c>
      <c r="J7" s="47">
        <f>COUNTIF(Vertices[Out-Degree], "&gt;= " &amp; I7) - COUNTIF(Vertices[Out-Degree], "&gt;=" &amp; I8)</f>
        <v>0</v>
      </c>
      <c r="K7" s="46">
        <f t="shared" si="4"/>
        <v>0</v>
      </c>
      <c r="L7" s="47">
        <f>COUNTIF(Vertices[Betweenness Centrality], "&gt;= " &amp; K7) - COUNTIF(Vertices[Betweenness Centrality], "&gt;=" &amp; K8)</f>
        <v>0</v>
      </c>
      <c r="M7" s="46">
        <f t="shared" si="5"/>
        <v>0</v>
      </c>
      <c r="N7" s="47">
        <f>COUNTIF(Vertices[Closeness Centrality], "&gt;= " &amp; M7) - COUNTIF(Vertices[Closeness Centrality], "&gt;=" &amp; M8)</f>
        <v>0</v>
      </c>
      <c r="O7" s="46">
        <f t="shared" si="6"/>
        <v>0</v>
      </c>
      <c r="P7" s="47">
        <f>COUNTIF(Vertices[Eigenvector Centrality], "&gt;= " &amp; O7) - COUNTIF(Vertices[Eigenvector Centrality], "&gt;=" &amp; O8)</f>
        <v>0</v>
      </c>
      <c r="Q7" s="46">
        <f t="shared" si="7"/>
        <v>0</v>
      </c>
      <c r="R7" s="47">
        <f>COUNTIF(Vertices[PageRank], "&gt;= " &amp; Q7) - COUNTIF(Vertices[PageRank], "&gt;=" &amp; Q8)</f>
        <v>0</v>
      </c>
      <c r="S7" s="46">
        <f t="shared" si="8"/>
        <v>0</v>
      </c>
      <c r="T7" s="51">
        <f>COUNTIF(Vertices[Clustering Coefficient], "&gt;= " &amp; S7) - COUNTIF(Vertices[Clustering Coefficient], "&gt;=" &amp; S8)</f>
        <v>0</v>
      </c>
      <c r="U7" s="46" t="e">
        <f t="shared" ca="1" si="9"/>
        <v>#REF!</v>
      </c>
      <c r="V7" s="47" t="e">
        <f t="shared" ca="1" si="0"/>
        <v>#REF!</v>
      </c>
    </row>
    <row r="8" spans="1:25">
      <c r="A8" s="41"/>
      <c r="B8" s="41"/>
      <c r="C8" s="41"/>
      <c r="E8" s="39">
        <f t="shared" si="1"/>
        <v>0</v>
      </c>
      <c r="F8" s="3">
        <f>COUNTIF(Vertices[Degree], "&gt;= " &amp; E8) - COUNTIF(Vertices[Degree], "&gt;=" &amp; E9)</f>
        <v>0</v>
      </c>
      <c r="G8" s="44">
        <f t="shared" si="2"/>
        <v>0</v>
      </c>
      <c r="H8" s="45">
        <f>COUNTIF(Vertices[In-Degree], "&gt;= " &amp; G8) - COUNTIF(Vertices[In-Degree], "&gt;=" &amp; G9)</f>
        <v>0</v>
      </c>
      <c r="I8" s="44">
        <f t="shared" si="3"/>
        <v>0</v>
      </c>
      <c r="J8" s="45">
        <f>COUNTIF(Vertices[Out-Degree], "&gt;= " &amp; I8) - COUNTIF(Vertices[Out-Degree], "&gt;=" &amp; I9)</f>
        <v>0</v>
      </c>
      <c r="K8" s="44">
        <f t="shared" si="4"/>
        <v>0</v>
      </c>
      <c r="L8" s="45">
        <f>COUNTIF(Vertices[Betweenness Centrality], "&gt;= " &amp; K8) - COUNTIF(Vertices[Betweenness Centrality], "&gt;=" &amp; K9)</f>
        <v>0</v>
      </c>
      <c r="M8" s="44">
        <f t="shared" si="5"/>
        <v>0</v>
      </c>
      <c r="N8" s="45">
        <f>COUNTIF(Vertices[Closeness Centrality], "&gt;= " &amp; M8) - COUNTIF(Vertices[Closeness Centrality], "&gt;=" &amp; M9)</f>
        <v>0</v>
      </c>
      <c r="O8" s="44">
        <f t="shared" si="6"/>
        <v>0</v>
      </c>
      <c r="P8" s="45">
        <f>COUNTIF(Vertices[Eigenvector Centrality], "&gt;= " &amp; O8) - COUNTIF(Vertices[Eigenvector Centrality], "&gt;=" &amp; O9)</f>
        <v>0</v>
      </c>
      <c r="Q8" s="44">
        <f t="shared" si="7"/>
        <v>0</v>
      </c>
      <c r="R8" s="45">
        <f>COUNTIF(Vertices[PageRank], "&gt;= " &amp; Q8) - COUNTIF(Vertices[PageRank], "&gt;=" &amp; Q9)</f>
        <v>0</v>
      </c>
      <c r="S8" s="44">
        <f t="shared" si="8"/>
        <v>0</v>
      </c>
      <c r="T8" s="50">
        <f>COUNTIF(Vertices[Clustering Coefficient], "&gt;= " &amp; S8) - COUNTIF(Vertices[Clustering Coefficient], "&gt;=" &amp; S9)</f>
        <v>0</v>
      </c>
      <c r="U8" s="44" t="e">
        <f t="shared" ca="1" si="9"/>
        <v>#REF!</v>
      </c>
      <c r="V8" s="45" t="e">
        <f t="shared" ca="1" si="0"/>
        <v>#REF!</v>
      </c>
    </row>
    <row r="9" spans="1:25">
      <c r="A9" s="41"/>
      <c r="B9" s="41"/>
      <c r="C9" s="41"/>
      <c r="E9" s="39">
        <f t="shared" si="1"/>
        <v>0</v>
      </c>
      <c r="F9" s="3">
        <f>COUNTIF(Vertices[Degree], "&gt;= " &amp; E9) - COUNTIF(Vertices[Degree], "&gt;=" &amp; E10)</f>
        <v>0</v>
      </c>
      <c r="G9" s="46">
        <f t="shared" si="2"/>
        <v>0</v>
      </c>
      <c r="H9" s="47">
        <f>COUNTIF(Vertices[In-Degree], "&gt;= " &amp; G9) - COUNTIF(Vertices[In-Degree], "&gt;=" &amp; G10)</f>
        <v>0</v>
      </c>
      <c r="I9" s="46">
        <f t="shared" si="3"/>
        <v>0</v>
      </c>
      <c r="J9" s="47">
        <f>COUNTIF(Vertices[Out-Degree], "&gt;= " &amp; I9) - COUNTIF(Vertices[Out-Degree], "&gt;=" &amp; I10)</f>
        <v>0</v>
      </c>
      <c r="K9" s="46">
        <f t="shared" si="4"/>
        <v>0</v>
      </c>
      <c r="L9" s="47">
        <f>COUNTIF(Vertices[Betweenness Centrality], "&gt;= " &amp; K9) - COUNTIF(Vertices[Betweenness Centrality], "&gt;=" &amp; K10)</f>
        <v>0</v>
      </c>
      <c r="M9" s="46">
        <f t="shared" si="5"/>
        <v>0</v>
      </c>
      <c r="N9" s="47">
        <f>COUNTIF(Vertices[Closeness Centrality], "&gt;= " &amp; M9) - COUNTIF(Vertices[Closeness Centrality], "&gt;=" &amp; M10)</f>
        <v>0</v>
      </c>
      <c r="O9" s="46">
        <f t="shared" si="6"/>
        <v>0</v>
      </c>
      <c r="P9" s="47">
        <f>COUNTIF(Vertices[Eigenvector Centrality], "&gt;= " &amp; O9) - COUNTIF(Vertices[Eigenvector Centrality], "&gt;=" &amp; O10)</f>
        <v>0</v>
      </c>
      <c r="Q9" s="46">
        <f t="shared" si="7"/>
        <v>0</v>
      </c>
      <c r="R9" s="47">
        <f>COUNTIF(Vertices[PageRank], "&gt;= " &amp; Q9) - COUNTIF(Vertices[PageRank], "&gt;=" &amp; Q10)</f>
        <v>0</v>
      </c>
      <c r="S9" s="46">
        <f t="shared" si="8"/>
        <v>0</v>
      </c>
      <c r="T9" s="51">
        <f>COUNTIF(Vertices[Clustering Coefficient], "&gt;= " &amp; S9) - COUNTIF(Vertices[Clustering Coefficient], "&gt;=" &amp; S10)</f>
        <v>0</v>
      </c>
      <c r="U9" s="46" t="e">
        <f t="shared" ca="1" si="9"/>
        <v>#REF!</v>
      </c>
      <c r="V9" s="47" t="e">
        <f t="shared" ca="1" si="0"/>
        <v>#REF!</v>
      </c>
    </row>
    <row r="10" spans="1:25">
      <c r="A10" s="41"/>
      <c r="B10" s="41"/>
      <c r="C10" s="41"/>
      <c r="E10" s="39">
        <f t="shared" si="1"/>
        <v>0</v>
      </c>
      <c r="F10" s="3">
        <f>COUNTIF(Vertices[Degree], "&gt;= " &amp; E10) - COUNTIF(Vertices[Degree], "&gt;=" &amp; E11)</f>
        <v>0</v>
      </c>
      <c r="G10" s="44">
        <f t="shared" si="2"/>
        <v>0</v>
      </c>
      <c r="H10" s="45">
        <f>COUNTIF(Vertices[In-Degree], "&gt;= " &amp; G10) - COUNTIF(Vertices[In-Degree], "&gt;=" &amp; G11)</f>
        <v>0</v>
      </c>
      <c r="I10" s="44">
        <f t="shared" si="3"/>
        <v>0</v>
      </c>
      <c r="J10" s="45">
        <f>COUNTIF(Vertices[Out-Degree], "&gt;= " &amp; I10) - COUNTIF(Vertices[Out-Degree], "&gt;=" &amp; I11)</f>
        <v>0</v>
      </c>
      <c r="K10" s="44">
        <f t="shared" si="4"/>
        <v>0</v>
      </c>
      <c r="L10" s="45">
        <f>COUNTIF(Vertices[Betweenness Centrality], "&gt;= " &amp; K10) - COUNTIF(Vertices[Betweenness Centrality], "&gt;=" &amp; K11)</f>
        <v>0</v>
      </c>
      <c r="M10" s="44">
        <f t="shared" si="5"/>
        <v>0</v>
      </c>
      <c r="N10" s="45">
        <f>COUNTIF(Vertices[Closeness Centrality], "&gt;= " &amp; M10) - COUNTIF(Vertices[Closeness Centrality], "&gt;=" &amp; M11)</f>
        <v>0</v>
      </c>
      <c r="O10" s="44">
        <f t="shared" si="6"/>
        <v>0</v>
      </c>
      <c r="P10" s="45">
        <f>COUNTIF(Vertices[Eigenvector Centrality], "&gt;= " &amp; O10) - COUNTIF(Vertices[Eigenvector Centrality], "&gt;=" &amp; O11)</f>
        <v>0</v>
      </c>
      <c r="Q10" s="44">
        <f t="shared" si="7"/>
        <v>0</v>
      </c>
      <c r="R10" s="45">
        <f>COUNTIF(Vertices[PageRank], "&gt;= " &amp; Q10) - COUNTIF(Vertices[PageRank], "&gt;=" &amp; Q11)</f>
        <v>0</v>
      </c>
      <c r="S10" s="44">
        <f t="shared" si="8"/>
        <v>0</v>
      </c>
      <c r="T10" s="50">
        <f>COUNTIF(Vertices[Clustering Coefficient], "&gt;= " &amp; S10) - COUNTIF(Vertices[Clustering Coefficient], "&gt;=" &amp; S11)</f>
        <v>0</v>
      </c>
      <c r="U10" s="44" t="e">
        <f t="shared" ca="1" si="9"/>
        <v>#REF!</v>
      </c>
      <c r="V10" s="45" t="e">
        <f t="shared" ca="1" si="0"/>
        <v>#REF!</v>
      </c>
    </row>
    <row r="11" spans="1:25">
      <c r="A11" s="41"/>
      <c r="B11" s="41"/>
      <c r="C11" s="41"/>
      <c r="E11" s="39">
        <f t="shared" si="1"/>
        <v>0</v>
      </c>
      <c r="F11" s="3">
        <f>COUNTIF(Vertices[Degree], "&gt;= " &amp; E11) - COUNTIF(Vertices[Degree], "&gt;=" &amp; E12)</f>
        <v>0</v>
      </c>
      <c r="G11" s="46">
        <f t="shared" si="2"/>
        <v>0</v>
      </c>
      <c r="H11" s="47">
        <f>COUNTIF(Vertices[In-Degree], "&gt;= " &amp; G11) - COUNTIF(Vertices[In-Degree], "&gt;=" &amp; G12)</f>
        <v>0</v>
      </c>
      <c r="I11" s="46">
        <f t="shared" si="3"/>
        <v>0</v>
      </c>
      <c r="J11" s="47">
        <f>COUNTIF(Vertices[Out-Degree], "&gt;= " &amp; I11) - COUNTIF(Vertices[Out-Degree], "&gt;=" &amp; I12)</f>
        <v>0</v>
      </c>
      <c r="K11" s="46">
        <f t="shared" si="4"/>
        <v>0</v>
      </c>
      <c r="L11" s="47">
        <f>COUNTIF(Vertices[Betweenness Centrality], "&gt;= " &amp; K11) - COUNTIF(Vertices[Betweenness Centrality], "&gt;=" &amp; K12)</f>
        <v>0</v>
      </c>
      <c r="M11" s="46">
        <f t="shared" si="5"/>
        <v>0</v>
      </c>
      <c r="N11" s="47">
        <f>COUNTIF(Vertices[Closeness Centrality], "&gt;= " &amp; M11) - COUNTIF(Vertices[Closeness Centrality], "&gt;=" &amp; M12)</f>
        <v>0</v>
      </c>
      <c r="O11" s="46">
        <f t="shared" si="6"/>
        <v>0</v>
      </c>
      <c r="P11" s="47">
        <f>COUNTIF(Vertices[Eigenvector Centrality], "&gt;= " &amp; O11) - COUNTIF(Vertices[Eigenvector Centrality], "&gt;=" &amp; O12)</f>
        <v>0</v>
      </c>
      <c r="Q11" s="46">
        <f t="shared" si="7"/>
        <v>0</v>
      </c>
      <c r="R11" s="47">
        <f>COUNTIF(Vertices[PageRank], "&gt;= " &amp; Q11) - COUNTIF(Vertices[PageRank], "&gt;=" &amp; Q12)</f>
        <v>0</v>
      </c>
      <c r="S11" s="46">
        <f t="shared" si="8"/>
        <v>0</v>
      </c>
      <c r="T11" s="51">
        <f>COUNTIF(Vertices[Clustering Coefficient], "&gt;= " &amp; S11) - COUNTIF(Vertices[Clustering Coefficient], "&gt;=" &amp; S12)</f>
        <v>0</v>
      </c>
      <c r="U11" s="46" t="e">
        <f t="shared" ca="1" si="9"/>
        <v>#REF!</v>
      </c>
      <c r="V11" s="47" t="e">
        <f t="shared" ca="1" si="0"/>
        <v>#REF!</v>
      </c>
    </row>
    <row r="12" spans="1:25">
      <c r="A12" s="41"/>
      <c r="B12" s="41"/>
      <c r="C12" s="41"/>
      <c r="E12" s="39">
        <f t="shared" si="1"/>
        <v>0</v>
      </c>
      <c r="F12" s="3">
        <f>COUNTIF(Vertices[Degree], "&gt;= " &amp; E12) - COUNTIF(Vertices[Degree], "&gt;=" &amp; E13)</f>
        <v>0</v>
      </c>
      <c r="G12" s="44">
        <f t="shared" si="2"/>
        <v>0</v>
      </c>
      <c r="H12" s="45">
        <f>COUNTIF(Vertices[In-Degree], "&gt;= " &amp; G12) - COUNTIF(Vertices[In-Degree], "&gt;=" &amp; G13)</f>
        <v>0</v>
      </c>
      <c r="I12" s="44">
        <f t="shared" si="3"/>
        <v>0</v>
      </c>
      <c r="J12" s="45">
        <f>COUNTIF(Vertices[Out-Degree], "&gt;= " &amp; I12) - COUNTIF(Vertices[Out-Degree], "&gt;=" &amp; I13)</f>
        <v>0</v>
      </c>
      <c r="K12" s="44">
        <f t="shared" si="4"/>
        <v>0</v>
      </c>
      <c r="L12" s="45">
        <f>COUNTIF(Vertices[Betweenness Centrality], "&gt;= " &amp; K12) - COUNTIF(Vertices[Betweenness Centrality], "&gt;=" &amp; K13)</f>
        <v>0</v>
      </c>
      <c r="M12" s="44">
        <f t="shared" si="5"/>
        <v>0</v>
      </c>
      <c r="N12" s="45">
        <f>COUNTIF(Vertices[Closeness Centrality], "&gt;= " &amp; M12) - COUNTIF(Vertices[Closeness Centrality], "&gt;=" &amp; M13)</f>
        <v>0</v>
      </c>
      <c r="O12" s="44">
        <f t="shared" si="6"/>
        <v>0</v>
      </c>
      <c r="P12" s="45">
        <f>COUNTIF(Vertices[Eigenvector Centrality], "&gt;= " &amp; O12) - COUNTIF(Vertices[Eigenvector Centrality], "&gt;=" &amp; O13)</f>
        <v>0</v>
      </c>
      <c r="Q12" s="44">
        <f t="shared" si="7"/>
        <v>0</v>
      </c>
      <c r="R12" s="45">
        <f>COUNTIF(Vertices[PageRank], "&gt;= " &amp; Q12) - COUNTIF(Vertices[PageRank], "&gt;=" &amp; Q13)</f>
        <v>0</v>
      </c>
      <c r="S12" s="44">
        <f t="shared" si="8"/>
        <v>0</v>
      </c>
      <c r="T12" s="50">
        <f>COUNTIF(Vertices[Clustering Coefficient], "&gt;= " &amp; S12) - COUNTIF(Vertices[Clustering Coefficient], "&gt;=" &amp; S13)</f>
        <v>0</v>
      </c>
      <c r="U12" s="44" t="e">
        <f t="shared" ca="1" si="9"/>
        <v>#REF!</v>
      </c>
      <c r="V12" s="45" t="e">
        <f t="shared" ca="1" si="0"/>
        <v>#REF!</v>
      </c>
    </row>
    <row r="13" spans="1:25">
      <c r="A13" s="41"/>
      <c r="B13" s="41"/>
      <c r="C13" s="41"/>
      <c r="E13" s="39">
        <f t="shared" si="1"/>
        <v>0</v>
      </c>
      <c r="F13" s="3">
        <f>COUNTIF(Vertices[Degree], "&gt;= " &amp; E13) - COUNTIF(Vertices[Degree], "&gt;=" &amp; E14)</f>
        <v>0</v>
      </c>
      <c r="G13" s="46">
        <f t="shared" si="2"/>
        <v>0</v>
      </c>
      <c r="H13" s="47">
        <f>COUNTIF(Vertices[In-Degree], "&gt;= " &amp; G13) - COUNTIF(Vertices[In-Degree], "&gt;=" &amp; G14)</f>
        <v>0</v>
      </c>
      <c r="I13" s="46">
        <f t="shared" si="3"/>
        <v>0</v>
      </c>
      <c r="J13" s="47">
        <f>COUNTIF(Vertices[Out-Degree], "&gt;= " &amp; I13) - COUNTIF(Vertices[Out-Degree], "&gt;=" &amp; I14)</f>
        <v>0</v>
      </c>
      <c r="K13" s="46">
        <f t="shared" si="4"/>
        <v>0</v>
      </c>
      <c r="L13" s="47">
        <f>COUNTIF(Vertices[Betweenness Centrality], "&gt;= " &amp; K13) - COUNTIF(Vertices[Betweenness Centrality], "&gt;=" &amp; K14)</f>
        <v>0</v>
      </c>
      <c r="M13" s="46">
        <f t="shared" si="5"/>
        <v>0</v>
      </c>
      <c r="N13" s="47">
        <f>COUNTIF(Vertices[Closeness Centrality], "&gt;= " &amp; M13) - COUNTIF(Vertices[Closeness Centrality], "&gt;=" &amp; M14)</f>
        <v>0</v>
      </c>
      <c r="O13" s="46">
        <f t="shared" si="6"/>
        <v>0</v>
      </c>
      <c r="P13" s="47">
        <f>COUNTIF(Vertices[Eigenvector Centrality], "&gt;= " &amp; O13) - COUNTIF(Vertices[Eigenvector Centrality], "&gt;=" &amp; O14)</f>
        <v>0</v>
      </c>
      <c r="Q13" s="46">
        <f t="shared" si="7"/>
        <v>0</v>
      </c>
      <c r="R13" s="47">
        <f>COUNTIF(Vertices[PageRank], "&gt;= " &amp; Q13) - COUNTIF(Vertices[PageRank], "&gt;=" &amp; Q14)</f>
        <v>0</v>
      </c>
      <c r="S13" s="46">
        <f t="shared" si="8"/>
        <v>0</v>
      </c>
      <c r="T13" s="51">
        <f>COUNTIF(Vertices[Clustering Coefficient], "&gt;= " &amp; S13) - COUNTIF(Vertices[Clustering Coefficient], "&gt;=" &amp; S14)</f>
        <v>0</v>
      </c>
      <c r="U13" s="46" t="e">
        <f t="shared" ca="1" si="9"/>
        <v>#REF!</v>
      </c>
      <c r="V13" s="47" t="e">
        <f t="shared" ca="1" si="0"/>
        <v>#REF!</v>
      </c>
    </row>
    <row r="14" spans="1:25">
      <c r="A14" s="41"/>
      <c r="B14" s="41"/>
      <c r="C14" s="41"/>
      <c r="E14" s="39">
        <f t="shared" si="1"/>
        <v>0</v>
      </c>
      <c r="F14" s="3">
        <f>COUNTIF(Vertices[Degree], "&gt;= " &amp; E14) - COUNTIF(Vertices[Degree], "&gt;=" &amp; E15)</f>
        <v>0</v>
      </c>
      <c r="G14" s="44">
        <f t="shared" si="2"/>
        <v>0</v>
      </c>
      <c r="H14" s="45">
        <f>COUNTIF(Vertices[In-Degree], "&gt;= " &amp; G14) - COUNTIF(Vertices[In-Degree], "&gt;=" &amp; G15)</f>
        <v>0</v>
      </c>
      <c r="I14" s="44">
        <f t="shared" si="3"/>
        <v>0</v>
      </c>
      <c r="J14" s="45">
        <f>COUNTIF(Vertices[Out-Degree], "&gt;= " &amp; I14) - COUNTIF(Vertices[Out-Degree], "&gt;=" &amp; I15)</f>
        <v>0</v>
      </c>
      <c r="K14" s="44">
        <f t="shared" si="4"/>
        <v>0</v>
      </c>
      <c r="L14" s="45">
        <f>COUNTIF(Vertices[Betweenness Centrality], "&gt;= " &amp; K14) - COUNTIF(Vertices[Betweenness Centrality], "&gt;=" &amp; K15)</f>
        <v>0</v>
      </c>
      <c r="M14" s="44">
        <f t="shared" si="5"/>
        <v>0</v>
      </c>
      <c r="N14" s="45">
        <f>COUNTIF(Vertices[Closeness Centrality], "&gt;= " &amp; M14) - COUNTIF(Vertices[Closeness Centrality], "&gt;=" &amp; M15)</f>
        <v>0</v>
      </c>
      <c r="O14" s="44">
        <f t="shared" si="6"/>
        <v>0</v>
      </c>
      <c r="P14" s="45">
        <f>COUNTIF(Vertices[Eigenvector Centrality], "&gt;= " &amp; O14) - COUNTIF(Vertices[Eigenvector Centrality], "&gt;=" &amp; O15)</f>
        <v>0</v>
      </c>
      <c r="Q14" s="44">
        <f t="shared" si="7"/>
        <v>0</v>
      </c>
      <c r="R14" s="45">
        <f>COUNTIF(Vertices[PageRank], "&gt;= " &amp; Q14) - COUNTIF(Vertices[PageRank], "&gt;=" &amp; Q15)</f>
        <v>0</v>
      </c>
      <c r="S14" s="44">
        <f t="shared" si="8"/>
        <v>0</v>
      </c>
      <c r="T14" s="50">
        <f>COUNTIF(Vertices[Clustering Coefficient], "&gt;= " &amp; S14) - COUNTIF(Vertices[Clustering Coefficient], "&gt;=" &amp; S15)</f>
        <v>0</v>
      </c>
      <c r="U14" s="44" t="e">
        <f t="shared" ca="1" si="9"/>
        <v>#REF!</v>
      </c>
      <c r="V14" s="45" t="e">
        <f t="shared" ca="1" si="0"/>
        <v>#REF!</v>
      </c>
    </row>
    <row r="15" spans="1:25">
      <c r="A15" s="41"/>
      <c r="B15" s="41"/>
      <c r="C15" s="41"/>
      <c r="E15" s="39">
        <f t="shared" si="1"/>
        <v>0</v>
      </c>
      <c r="F15" s="3">
        <f>COUNTIF(Vertices[Degree], "&gt;= " &amp; E15) - COUNTIF(Vertices[Degree], "&gt;=" &amp; E16)</f>
        <v>0</v>
      </c>
      <c r="G15" s="46">
        <f t="shared" si="2"/>
        <v>0</v>
      </c>
      <c r="H15" s="47">
        <f>COUNTIF(Vertices[In-Degree], "&gt;= " &amp; G15) - COUNTIF(Vertices[In-Degree], "&gt;=" &amp; G16)</f>
        <v>0</v>
      </c>
      <c r="I15" s="46">
        <f t="shared" si="3"/>
        <v>0</v>
      </c>
      <c r="J15" s="47">
        <f>COUNTIF(Vertices[Out-Degree], "&gt;= " &amp; I15) - COUNTIF(Vertices[Out-Degree], "&gt;=" &amp; I16)</f>
        <v>0</v>
      </c>
      <c r="K15" s="46">
        <f t="shared" si="4"/>
        <v>0</v>
      </c>
      <c r="L15" s="47">
        <f>COUNTIF(Vertices[Betweenness Centrality], "&gt;= " &amp; K15) - COUNTIF(Vertices[Betweenness Centrality], "&gt;=" &amp; K16)</f>
        <v>0</v>
      </c>
      <c r="M15" s="46">
        <f t="shared" si="5"/>
        <v>0</v>
      </c>
      <c r="N15" s="47">
        <f>COUNTIF(Vertices[Closeness Centrality], "&gt;= " &amp; M15) - COUNTIF(Vertices[Closeness Centrality], "&gt;=" &amp; M16)</f>
        <v>0</v>
      </c>
      <c r="O15" s="46">
        <f t="shared" si="6"/>
        <v>0</v>
      </c>
      <c r="P15" s="47">
        <f>COUNTIF(Vertices[Eigenvector Centrality], "&gt;= " &amp; O15) - COUNTIF(Vertices[Eigenvector Centrality], "&gt;=" &amp; O16)</f>
        <v>0</v>
      </c>
      <c r="Q15" s="46">
        <f t="shared" si="7"/>
        <v>0</v>
      </c>
      <c r="R15" s="47">
        <f>COUNTIF(Vertices[PageRank], "&gt;= " &amp; Q15) - COUNTIF(Vertices[PageRank], "&gt;=" &amp; Q16)</f>
        <v>0</v>
      </c>
      <c r="S15" s="46">
        <f t="shared" si="8"/>
        <v>0</v>
      </c>
      <c r="T15" s="51">
        <f>COUNTIF(Vertices[Clustering Coefficient], "&gt;= " &amp; S15) - COUNTIF(Vertices[Clustering Coefficient], "&gt;=" &amp; S16)</f>
        <v>0</v>
      </c>
      <c r="U15" s="46" t="e">
        <f t="shared" ca="1" si="9"/>
        <v>#REF!</v>
      </c>
      <c r="V15" s="47" t="e">
        <f t="shared" ca="1" si="0"/>
        <v>#REF!</v>
      </c>
    </row>
    <row r="16" spans="1:25">
      <c r="A16" s="41"/>
      <c r="B16" s="41"/>
      <c r="C16" s="41"/>
      <c r="E16" s="39">
        <f t="shared" si="1"/>
        <v>0</v>
      </c>
      <c r="F16" s="3">
        <f>COUNTIF(Vertices[Degree], "&gt;= " &amp; E16) - COUNTIF(Vertices[Degree], "&gt;=" &amp; E17)</f>
        <v>0</v>
      </c>
      <c r="G16" s="44">
        <f t="shared" si="2"/>
        <v>0</v>
      </c>
      <c r="H16" s="45">
        <f>COUNTIF(Vertices[In-Degree], "&gt;= " &amp; G16) - COUNTIF(Vertices[In-Degree], "&gt;=" &amp; G17)</f>
        <v>0</v>
      </c>
      <c r="I16" s="44">
        <f t="shared" si="3"/>
        <v>0</v>
      </c>
      <c r="J16" s="45">
        <f>COUNTIF(Vertices[Out-Degree], "&gt;= " &amp; I16) - COUNTIF(Vertices[Out-Degree], "&gt;=" &amp; I17)</f>
        <v>0</v>
      </c>
      <c r="K16" s="44">
        <f t="shared" si="4"/>
        <v>0</v>
      </c>
      <c r="L16" s="45">
        <f>COUNTIF(Vertices[Betweenness Centrality], "&gt;= " &amp; K16) - COUNTIF(Vertices[Betweenness Centrality], "&gt;=" &amp; K17)</f>
        <v>0</v>
      </c>
      <c r="M16" s="44">
        <f t="shared" si="5"/>
        <v>0</v>
      </c>
      <c r="N16" s="45">
        <f>COUNTIF(Vertices[Closeness Centrality], "&gt;= " &amp; M16) - COUNTIF(Vertices[Closeness Centrality], "&gt;=" &amp; M17)</f>
        <v>0</v>
      </c>
      <c r="O16" s="44">
        <f t="shared" si="6"/>
        <v>0</v>
      </c>
      <c r="P16" s="45">
        <f>COUNTIF(Vertices[Eigenvector Centrality], "&gt;= " &amp; O16) - COUNTIF(Vertices[Eigenvector Centrality], "&gt;=" &amp; O17)</f>
        <v>0</v>
      </c>
      <c r="Q16" s="44">
        <f t="shared" si="7"/>
        <v>0</v>
      </c>
      <c r="R16" s="45">
        <f>COUNTIF(Vertices[PageRank], "&gt;= " &amp; Q16) - COUNTIF(Vertices[PageRank], "&gt;=" &amp; Q17)</f>
        <v>0</v>
      </c>
      <c r="S16" s="44">
        <f t="shared" si="8"/>
        <v>0</v>
      </c>
      <c r="T16" s="50">
        <f>COUNTIF(Vertices[Clustering Coefficient], "&gt;= " &amp; S16) - COUNTIF(Vertices[Clustering Coefficient], "&gt;=" &amp; S17)</f>
        <v>0</v>
      </c>
      <c r="U16" s="44" t="e">
        <f t="shared" ca="1" si="9"/>
        <v>#REF!</v>
      </c>
      <c r="V16" s="45" t="e">
        <f t="shared" ca="1" si="0"/>
        <v>#REF!</v>
      </c>
    </row>
    <row r="17" spans="1:22">
      <c r="A17" s="41"/>
      <c r="B17" s="41"/>
      <c r="C17" s="41"/>
      <c r="E17" s="39">
        <f t="shared" si="1"/>
        <v>0</v>
      </c>
      <c r="F17" s="3">
        <f>COUNTIF(Vertices[Degree], "&gt;= " &amp; E17) - COUNTIF(Vertices[Degree], "&gt;=" &amp; E18)</f>
        <v>0</v>
      </c>
      <c r="G17" s="46">
        <f t="shared" si="2"/>
        <v>0</v>
      </c>
      <c r="H17" s="47">
        <f>COUNTIF(Vertices[In-Degree], "&gt;= " &amp; G17) - COUNTIF(Vertices[In-Degree], "&gt;=" &amp; G18)</f>
        <v>0</v>
      </c>
      <c r="I17" s="46">
        <f t="shared" si="3"/>
        <v>0</v>
      </c>
      <c r="J17" s="47">
        <f>COUNTIF(Vertices[Out-Degree], "&gt;= " &amp; I17) - COUNTIF(Vertices[Out-Degree], "&gt;=" &amp; I18)</f>
        <v>0</v>
      </c>
      <c r="K17" s="46">
        <f t="shared" si="4"/>
        <v>0</v>
      </c>
      <c r="L17" s="47">
        <f>COUNTIF(Vertices[Betweenness Centrality], "&gt;= " &amp; K17) - COUNTIF(Vertices[Betweenness Centrality], "&gt;=" &amp; K18)</f>
        <v>0</v>
      </c>
      <c r="M17" s="46">
        <f t="shared" si="5"/>
        <v>0</v>
      </c>
      <c r="N17" s="47">
        <f>COUNTIF(Vertices[Closeness Centrality], "&gt;= " &amp; M17) - COUNTIF(Vertices[Closeness Centrality], "&gt;=" &amp; M18)</f>
        <v>0</v>
      </c>
      <c r="O17" s="46">
        <f t="shared" si="6"/>
        <v>0</v>
      </c>
      <c r="P17" s="47">
        <f>COUNTIF(Vertices[Eigenvector Centrality], "&gt;= " &amp; O17) - COUNTIF(Vertices[Eigenvector Centrality], "&gt;=" &amp; O18)</f>
        <v>0</v>
      </c>
      <c r="Q17" s="46">
        <f t="shared" si="7"/>
        <v>0</v>
      </c>
      <c r="R17" s="47">
        <f>COUNTIF(Vertices[PageRank], "&gt;= " &amp; Q17) - COUNTIF(Vertices[PageRank], "&gt;=" &amp; Q18)</f>
        <v>0</v>
      </c>
      <c r="S17" s="46">
        <f t="shared" si="8"/>
        <v>0</v>
      </c>
      <c r="T17" s="51">
        <f>COUNTIF(Vertices[Clustering Coefficient], "&gt;= " &amp; S17) - COUNTIF(Vertices[Clustering Coefficient], "&gt;=" &amp; S18)</f>
        <v>0</v>
      </c>
      <c r="U17" s="46" t="e">
        <f t="shared" ca="1" si="9"/>
        <v>#REF!</v>
      </c>
      <c r="V17" s="47" t="e">
        <f t="shared" ca="1" si="0"/>
        <v>#REF!</v>
      </c>
    </row>
    <row r="18" spans="1:22">
      <c r="A18" s="41"/>
      <c r="B18" s="41"/>
      <c r="C18" s="41"/>
      <c r="E18" s="39">
        <f t="shared" si="1"/>
        <v>0</v>
      </c>
      <c r="F18" s="3">
        <f>COUNTIF(Vertices[Degree], "&gt;= " &amp; E18) - COUNTIF(Vertices[Degree], "&gt;=" &amp; E19)</f>
        <v>0</v>
      </c>
      <c r="G18" s="44">
        <f t="shared" si="2"/>
        <v>0</v>
      </c>
      <c r="H18" s="45">
        <f>COUNTIF(Vertices[In-Degree], "&gt;= " &amp; G18) - COUNTIF(Vertices[In-Degree], "&gt;=" &amp; G19)</f>
        <v>0</v>
      </c>
      <c r="I18" s="44">
        <f t="shared" si="3"/>
        <v>0</v>
      </c>
      <c r="J18" s="45">
        <f>COUNTIF(Vertices[Out-Degree], "&gt;= " &amp; I18) - COUNTIF(Vertices[Out-Degree], "&gt;=" &amp; I19)</f>
        <v>0</v>
      </c>
      <c r="K18" s="44">
        <f t="shared" si="4"/>
        <v>0</v>
      </c>
      <c r="L18" s="45">
        <f>COUNTIF(Vertices[Betweenness Centrality], "&gt;= " &amp; K18) - COUNTIF(Vertices[Betweenness Centrality], "&gt;=" &amp; K19)</f>
        <v>0</v>
      </c>
      <c r="M18" s="44">
        <f t="shared" si="5"/>
        <v>0</v>
      </c>
      <c r="N18" s="45">
        <f>COUNTIF(Vertices[Closeness Centrality], "&gt;= " &amp; M18) - COUNTIF(Vertices[Closeness Centrality], "&gt;=" &amp; M19)</f>
        <v>0</v>
      </c>
      <c r="O18" s="44">
        <f t="shared" si="6"/>
        <v>0</v>
      </c>
      <c r="P18" s="45">
        <f>COUNTIF(Vertices[Eigenvector Centrality], "&gt;= " &amp; O18) - COUNTIF(Vertices[Eigenvector Centrality], "&gt;=" &amp; O19)</f>
        <v>0</v>
      </c>
      <c r="Q18" s="44">
        <f t="shared" si="7"/>
        <v>0</v>
      </c>
      <c r="R18" s="45">
        <f>COUNTIF(Vertices[PageRank], "&gt;= " &amp; Q18) - COUNTIF(Vertices[PageRank], "&gt;=" &amp; Q19)</f>
        <v>0</v>
      </c>
      <c r="S18" s="44">
        <f t="shared" si="8"/>
        <v>0</v>
      </c>
      <c r="T18" s="50">
        <f>COUNTIF(Vertices[Clustering Coefficient], "&gt;= " &amp; S18) - COUNTIF(Vertices[Clustering Coefficient], "&gt;=" &amp; S19)</f>
        <v>0</v>
      </c>
      <c r="U18" s="44" t="e">
        <f t="shared" ca="1" si="9"/>
        <v>#REF!</v>
      </c>
      <c r="V18" s="45" t="e">
        <f t="shared" ca="1" si="0"/>
        <v>#REF!</v>
      </c>
    </row>
    <row r="19" spans="1:22">
      <c r="A19" s="41"/>
      <c r="B19" s="41"/>
      <c r="C19" s="41"/>
      <c r="E19" s="39">
        <f t="shared" si="1"/>
        <v>0</v>
      </c>
      <c r="F19" s="3">
        <f>COUNTIF(Vertices[Degree], "&gt;= " &amp; E19) - COUNTIF(Vertices[Degree], "&gt;=" &amp; E20)</f>
        <v>0</v>
      </c>
      <c r="G19" s="46">
        <f t="shared" si="2"/>
        <v>0</v>
      </c>
      <c r="H19" s="47">
        <f>COUNTIF(Vertices[In-Degree], "&gt;= " &amp; G19) - COUNTIF(Vertices[In-Degree], "&gt;=" &amp; G20)</f>
        <v>0</v>
      </c>
      <c r="I19" s="46">
        <f t="shared" si="3"/>
        <v>0</v>
      </c>
      <c r="J19" s="47">
        <f>COUNTIF(Vertices[Out-Degree], "&gt;= " &amp; I19) - COUNTIF(Vertices[Out-Degree], "&gt;=" &amp; I20)</f>
        <v>0</v>
      </c>
      <c r="K19" s="46">
        <f t="shared" si="4"/>
        <v>0</v>
      </c>
      <c r="L19" s="47">
        <f>COUNTIF(Vertices[Betweenness Centrality], "&gt;= " &amp; K19) - COUNTIF(Vertices[Betweenness Centrality], "&gt;=" &amp; K20)</f>
        <v>0</v>
      </c>
      <c r="M19" s="46">
        <f t="shared" si="5"/>
        <v>0</v>
      </c>
      <c r="N19" s="47">
        <f>COUNTIF(Vertices[Closeness Centrality], "&gt;= " &amp; M19) - COUNTIF(Vertices[Closeness Centrality], "&gt;=" &amp; M20)</f>
        <v>0</v>
      </c>
      <c r="O19" s="46">
        <f t="shared" si="6"/>
        <v>0</v>
      </c>
      <c r="P19" s="47">
        <f>COUNTIF(Vertices[Eigenvector Centrality], "&gt;= " &amp; O19) - COUNTIF(Vertices[Eigenvector Centrality], "&gt;=" &amp; O20)</f>
        <v>0</v>
      </c>
      <c r="Q19" s="46">
        <f t="shared" si="7"/>
        <v>0</v>
      </c>
      <c r="R19" s="47">
        <f>COUNTIF(Vertices[PageRank], "&gt;= " &amp; Q19) - COUNTIF(Vertices[PageRank], "&gt;=" &amp; Q20)</f>
        <v>0</v>
      </c>
      <c r="S19" s="46">
        <f t="shared" si="8"/>
        <v>0</v>
      </c>
      <c r="T19" s="51">
        <f>COUNTIF(Vertices[Clustering Coefficient], "&gt;= " &amp; S19) - COUNTIF(Vertices[Clustering Coefficient], "&gt;=" &amp; S20)</f>
        <v>0</v>
      </c>
      <c r="U19" s="46" t="e">
        <f t="shared" ca="1" si="9"/>
        <v>#REF!</v>
      </c>
      <c r="V19" s="47" t="e">
        <f t="shared" ca="1" si="0"/>
        <v>#REF!</v>
      </c>
    </row>
    <row r="20" spans="1:22">
      <c r="A20" s="41"/>
      <c r="B20" s="41"/>
      <c r="C20" s="41"/>
      <c r="E20" s="39">
        <f t="shared" si="1"/>
        <v>0</v>
      </c>
      <c r="F20" s="3">
        <f>COUNTIF(Vertices[Degree], "&gt;= " &amp; E20) - COUNTIF(Vertices[Degree], "&gt;=" &amp; E21)</f>
        <v>0</v>
      </c>
      <c r="G20" s="44">
        <f t="shared" si="2"/>
        <v>0</v>
      </c>
      <c r="H20" s="45">
        <f>COUNTIF(Vertices[In-Degree], "&gt;= " &amp; G20) - COUNTIF(Vertices[In-Degree], "&gt;=" &amp; G21)</f>
        <v>0</v>
      </c>
      <c r="I20" s="44">
        <f t="shared" si="3"/>
        <v>0</v>
      </c>
      <c r="J20" s="45">
        <f>COUNTIF(Vertices[Out-Degree], "&gt;= " &amp; I20) - COUNTIF(Vertices[Out-Degree], "&gt;=" &amp; I21)</f>
        <v>0</v>
      </c>
      <c r="K20" s="44">
        <f t="shared" si="4"/>
        <v>0</v>
      </c>
      <c r="L20" s="45">
        <f>COUNTIF(Vertices[Betweenness Centrality], "&gt;= " &amp; K20) - COUNTIF(Vertices[Betweenness Centrality], "&gt;=" &amp; K21)</f>
        <v>0</v>
      </c>
      <c r="M20" s="44">
        <f t="shared" si="5"/>
        <v>0</v>
      </c>
      <c r="N20" s="45">
        <f>COUNTIF(Vertices[Closeness Centrality], "&gt;= " &amp; M20) - COUNTIF(Vertices[Closeness Centrality], "&gt;=" &amp; M21)</f>
        <v>0</v>
      </c>
      <c r="O20" s="44">
        <f t="shared" si="6"/>
        <v>0</v>
      </c>
      <c r="P20" s="45">
        <f>COUNTIF(Vertices[Eigenvector Centrality], "&gt;= " &amp; O20) - COUNTIF(Vertices[Eigenvector Centrality], "&gt;=" &amp; O21)</f>
        <v>0</v>
      </c>
      <c r="Q20" s="44">
        <f t="shared" si="7"/>
        <v>0</v>
      </c>
      <c r="R20" s="45">
        <f>COUNTIF(Vertices[PageRank], "&gt;= " &amp; Q20) - COUNTIF(Vertices[PageRank], "&gt;=" &amp; Q21)</f>
        <v>0</v>
      </c>
      <c r="S20" s="44">
        <f t="shared" si="8"/>
        <v>0</v>
      </c>
      <c r="T20" s="50">
        <f>COUNTIF(Vertices[Clustering Coefficient], "&gt;= " &amp; S20) - COUNTIF(Vertices[Clustering Coefficient], "&gt;=" &amp; S21)</f>
        <v>0</v>
      </c>
      <c r="U20" s="44" t="e">
        <f t="shared" ca="1" si="9"/>
        <v>#REF!</v>
      </c>
      <c r="V20" s="45" t="e">
        <f t="shared" ca="1" si="0"/>
        <v>#REF!</v>
      </c>
    </row>
    <row r="21" spans="1:22">
      <c r="A21" s="41"/>
      <c r="B21" s="41"/>
      <c r="C21" s="41"/>
      <c r="E21" s="39">
        <f t="shared" si="1"/>
        <v>0</v>
      </c>
      <c r="F21" s="3">
        <f>COUNTIF(Vertices[Degree], "&gt;= " &amp; E21) - COUNTIF(Vertices[Degree], "&gt;=" &amp; E22)</f>
        <v>0</v>
      </c>
      <c r="G21" s="46">
        <f t="shared" si="2"/>
        <v>0</v>
      </c>
      <c r="H21" s="47">
        <f>COUNTIF(Vertices[In-Degree], "&gt;= " &amp; G21) - COUNTIF(Vertices[In-Degree], "&gt;=" &amp; G22)</f>
        <v>0</v>
      </c>
      <c r="I21" s="46">
        <f t="shared" si="3"/>
        <v>0</v>
      </c>
      <c r="J21" s="47">
        <f>COUNTIF(Vertices[Out-Degree], "&gt;= " &amp; I21) - COUNTIF(Vertices[Out-Degree], "&gt;=" &amp; I22)</f>
        <v>0</v>
      </c>
      <c r="K21" s="46">
        <f t="shared" si="4"/>
        <v>0</v>
      </c>
      <c r="L21" s="47">
        <f>COUNTIF(Vertices[Betweenness Centrality], "&gt;= " &amp; K21) - COUNTIF(Vertices[Betweenness Centrality], "&gt;=" &amp; K22)</f>
        <v>0</v>
      </c>
      <c r="M21" s="46">
        <f t="shared" si="5"/>
        <v>0</v>
      </c>
      <c r="N21" s="47">
        <f>COUNTIF(Vertices[Closeness Centrality], "&gt;= " &amp; M21) - COUNTIF(Vertices[Closeness Centrality], "&gt;=" &amp; M22)</f>
        <v>0</v>
      </c>
      <c r="O21" s="46">
        <f t="shared" si="6"/>
        <v>0</v>
      </c>
      <c r="P21" s="47">
        <f>COUNTIF(Vertices[Eigenvector Centrality], "&gt;= " &amp; O21) - COUNTIF(Vertices[Eigenvector Centrality], "&gt;=" &amp; O22)</f>
        <v>0</v>
      </c>
      <c r="Q21" s="46">
        <f t="shared" si="7"/>
        <v>0</v>
      </c>
      <c r="R21" s="47">
        <f>COUNTIF(Vertices[PageRank], "&gt;= " &amp; Q21) - COUNTIF(Vertices[PageRank], "&gt;=" &amp; Q22)</f>
        <v>0</v>
      </c>
      <c r="S21" s="46">
        <f t="shared" si="8"/>
        <v>0</v>
      </c>
      <c r="T21" s="51">
        <f>COUNTIF(Vertices[Clustering Coefficient], "&gt;= " &amp; S21) - COUNTIF(Vertices[Clustering Coefficient], "&gt;=" &amp; S22)</f>
        <v>0</v>
      </c>
      <c r="U21" s="46" t="e">
        <f t="shared" ca="1" si="9"/>
        <v>#REF!</v>
      </c>
      <c r="V21" s="47" t="e">
        <f t="shared" ca="1" si="0"/>
        <v>#REF!</v>
      </c>
    </row>
    <row r="22" spans="1:22">
      <c r="A22" s="41"/>
      <c r="B22" s="41"/>
      <c r="C22" s="41" t="s">
        <v>100</v>
      </c>
      <c r="E22" s="39">
        <f t="shared" si="1"/>
        <v>0</v>
      </c>
      <c r="F22" s="3">
        <f>COUNTIF(Vertices[Degree], "&gt;= " &amp; E22) - COUNTIF(Vertices[Degree], "&gt;=" &amp; E23)</f>
        <v>0</v>
      </c>
      <c r="G22" s="44">
        <f t="shared" si="2"/>
        <v>0</v>
      </c>
      <c r="H22" s="45">
        <f>COUNTIF(Vertices[In-Degree], "&gt;= " &amp; G22) - COUNTIF(Vertices[In-Degree], "&gt;=" &amp; G23)</f>
        <v>0</v>
      </c>
      <c r="I22" s="44">
        <f t="shared" si="3"/>
        <v>0</v>
      </c>
      <c r="J22" s="45">
        <f>COUNTIF(Vertices[Out-Degree], "&gt;= " &amp; I22) - COUNTIF(Vertices[Out-Degree], "&gt;=" &amp; I23)</f>
        <v>0</v>
      </c>
      <c r="K22" s="44">
        <f t="shared" si="4"/>
        <v>0</v>
      </c>
      <c r="L22" s="45">
        <f>COUNTIF(Vertices[Betweenness Centrality], "&gt;= " &amp; K22) - COUNTIF(Vertices[Betweenness Centrality], "&gt;=" &amp; K23)</f>
        <v>0</v>
      </c>
      <c r="M22" s="44">
        <f t="shared" si="5"/>
        <v>0</v>
      </c>
      <c r="N22" s="45">
        <f>COUNTIF(Vertices[Closeness Centrality], "&gt;= " &amp; M22) - COUNTIF(Vertices[Closeness Centrality], "&gt;=" &amp; M23)</f>
        <v>0</v>
      </c>
      <c r="O22" s="44">
        <f t="shared" si="6"/>
        <v>0</v>
      </c>
      <c r="P22" s="45">
        <f>COUNTIF(Vertices[Eigenvector Centrality], "&gt;= " &amp; O22) - COUNTIF(Vertices[Eigenvector Centrality], "&gt;=" &amp; O23)</f>
        <v>0</v>
      </c>
      <c r="Q22" s="44">
        <f t="shared" si="7"/>
        <v>0</v>
      </c>
      <c r="R22" s="45">
        <f>COUNTIF(Vertices[PageRank], "&gt;= " &amp; Q22) - COUNTIF(Vertices[PageRank], "&gt;=" &amp; Q23)</f>
        <v>0</v>
      </c>
      <c r="S22" s="44">
        <f t="shared" si="8"/>
        <v>0</v>
      </c>
      <c r="T22" s="50">
        <f>COUNTIF(Vertices[Clustering Coefficient], "&gt;= " &amp; S22) - COUNTIF(Vertices[Clustering Coefficient], "&gt;=" &amp; S23)</f>
        <v>0</v>
      </c>
      <c r="U22" s="44" t="e">
        <f t="shared" ca="1" si="9"/>
        <v>#REF!</v>
      </c>
      <c r="V22" s="45" t="e">
        <f t="shared" ca="1" si="0"/>
        <v>#REF!</v>
      </c>
    </row>
    <row r="23" spans="1:22">
      <c r="E23" s="39">
        <f t="shared" si="1"/>
        <v>0</v>
      </c>
      <c r="F23" s="3">
        <f>COUNTIF(Vertices[Degree], "&gt;= " &amp; E23) - COUNTIF(Vertices[Degree], "&gt;=" &amp; E24)</f>
        <v>0</v>
      </c>
      <c r="G23" s="46">
        <f t="shared" si="2"/>
        <v>0</v>
      </c>
      <c r="H23" s="47">
        <f>COUNTIF(Vertices[In-Degree], "&gt;= " &amp; G23) - COUNTIF(Vertices[In-Degree], "&gt;=" &amp; G24)</f>
        <v>0</v>
      </c>
      <c r="I23" s="46">
        <f t="shared" si="3"/>
        <v>0</v>
      </c>
      <c r="J23" s="47">
        <f>COUNTIF(Vertices[Out-Degree], "&gt;= " &amp; I23) - COUNTIF(Vertices[Out-Degree], "&gt;=" &amp; I24)</f>
        <v>0</v>
      </c>
      <c r="K23" s="46">
        <f t="shared" si="4"/>
        <v>0</v>
      </c>
      <c r="L23" s="47">
        <f>COUNTIF(Vertices[Betweenness Centrality], "&gt;= " &amp; K23) - COUNTIF(Vertices[Betweenness Centrality], "&gt;=" &amp; K24)</f>
        <v>0</v>
      </c>
      <c r="M23" s="46">
        <f t="shared" si="5"/>
        <v>0</v>
      </c>
      <c r="N23" s="47">
        <f>COUNTIF(Vertices[Closeness Centrality], "&gt;= " &amp; M23) - COUNTIF(Vertices[Closeness Centrality], "&gt;=" &amp; M24)</f>
        <v>0</v>
      </c>
      <c r="O23" s="46">
        <f t="shared" si="6"/>
        <v>0</v>
      </c>
      <c r="P23" s="47">
        <f>COUNTIF(Vertices[Eigenvector Centrality], "&gt;= " &amp; O23) - COUNTIF(Vertices[Eigenvector Centrality], "&gt;=" &amp; O24)</f>
        <v>0</v>
      </c>
      <c r="Q23" s="46">
        <f t="shared" si="7"/>
        <v>0</v>
      </c>
      <c r="R23" s="47">
        <f>COUNTIF(Vertices[PageRank], "&gt;= " &amp; Q23) - COUNTIF(Vertices[PageRank], "&gt;=" &amp; Q24)</f>
        <v>0</v>
      </c>
      <c r="S23" s="46">
        <f t="shared" si="8"/>
        <v>0</v>
      </c>
      <c r="T23" s="51">
        <f>COUNTIF(Vertices[Clustering Coefficient], "&gt;= " &amp; S23) - COUNTIF(Vertices[Clustering Coefficient], "&gt;=" &amp; S24)</f>
        <v>0</v>
      </c>
      <c r="U23" s="46" t="e">
        <f t="shared" ca="1" si="9"/>
        <v>#REF!</v>
      </c>
      <c r="V23" s="47" t="e">
        <f t="shared" ca="1" si="0"/>
        <v>#REF!</v>
      </c>
    </row>
    <row r="24" spans="1:22">
      <c r="E24" s="39">
        <f t="shared" si="1"/>
        <v>0</v>
      </c>
      <c r="F24" s="3">
        <f>COUNTIF(Vertices[Degree], "&gt;= " &amp; E24) - COUNTIF(Vertices[Degree], "&gt;=" &amp; E25)</f>
        <v>0</v>
      </c>
      <c r="G24" s="44">
        <f t="shared" si="2"/>
        <v>0</v>
      </c>
      <c r="H24" s="45">
        <f>COUNTIF(Vertices[In-Degree], "&gt;= " &amp; G24) - COUNTIF(Vertices[In-Degree], "&gt;=" &amp; G25)</f>
        <v>0</v>
      </c>
      <c r="I24" s="44">
        <f t="shared" si="3"/>
        <v>0</v>
      </c>
      <c r="J24" s="45">
        <f>COUNTIF(Vertices[Out-Degree], "&gt;= " &amp; I24) - COUNTIF(Vertices[Out-Degree], "&gt;=" &amp; I25)</f>
        <v>0</v>
      </c>
      <c r="K24" s="44">
        <f t="shared" si="4"/>
        <v>0</v>
      </c>
      <c r="L24" s="45">
        <f>COUNTIF(Vertices[Betweenness Centrality], "&gt;= " &amp; K24) - COUNTIF(Vertices[Betweenness Centrality], "&gt;=" &amp; K25)</f>
        <v>0</v>
      </c>
      <c r="M24" s="44">
        <f t="shared" si="5"/>
        <v>0</v>
      </c>
      <c r="N24" s="45">
        <f>COUNTIF(Vertices[Closeness Centrality], "&gt;= " &amp; M24) - COUNTIF(Vertices[Closeness Centrality], "&gt;=" &amp; M25)</f>
        <v>0</v>
      </c>
      <c r="O24" s="44">
        <f t="shared" si="6"/>
        <v>0</v>
      </c>
      <c r="P24" s="45">
        <f>COUNTIF(Vertices[Eigenvector Centrality], "&gt;= " &amp; O24) - COUNTIF(Vertices[Eigenvector Centrality], "&gt;=" &amp; O25)</f>
        <v>0</v>
      </c>
      <c r="Q24" s="44">
        <f t="shared" si="7"/>
        <v>0</v>
      </c>
      <c r="R24" s="45">
        <f>COUNTIF(Vertices[PageRank], "&gt;= " &amp; Q24) - COUNTIF(Vertices[PageRank], "&gt;=" &amp; Q25)</f>
        <v>0</v>
      </c>
      <c r="S24" s="44">
        <f t="shared" si="8"/>
        <v>0</v>
      </c>
      <c r="T24" s="50">
        <f>COUNTIF(Vertices[Clustering Coefficient], "&gt;= " &amp; S24) - COUNTIF(Vertices[Clustering Coefficient], "&gt;=" &amp; S25)</f>
        <v>0</v>
      </c>
      <c r="U24" s="44" t="e">
        <f t="shared" ca="1" si="9"/>
        <v>#REF!</v>
      </c>
      <c r="V24" s="45" t="e">
        <f t="shared" ca="1" si="0"/>
        <v>#REF!</v>
      </c>
    </row>
    <row r="25" spans="1:22">
      <c r="E25" s="39">
        <f t="shared" si="1"/>
        <v>0</v>
      </c>
      <c r="F25" s="3">
        <f>COUNTIF(Vertices[Degree], "&gt;= " &amp; E25) - COUNTIF(Vertices[Degree], "&gt;=" &amp; E26)</f>
        <v>0</v>
      </c>
      <c r="G25" s="46">
        <f t="shared" si="2"/>
        <v>0</v>
      </c>
      <c r="H25" s="47">
        <f>COUNTIF(Vertices[In-Degree], "&gt;= " &amp; G25) - COUNTIF(Vertices[In-Degree], "&gt;=" &amp; G26)</f>
        <v>0</v>
      </c>
      <c r="I25" s="46">
        <f t="shared" si="3"/>
        <v>0</v>
      </c>
      <c r="J25" s="47">
        <f>COUNTIF(Vertices[Out-Degree], "&gt;= " &amp; I25) - COUNTIF(Vertices[Out-Degree], "&gt;=" &amp; I26)</f>
        <v>0</v>
      </c>
      <c r="K25" s="46">
        <f t="shared" si="4"/>
        <v>0</v>
      </c>
      <c r="L25" s="47">
        <f>COUNTIF(Vertices[Betweenness Centrality], "&gt;= " &amp; K25) - COUNTIF(Vertices[Betweenness Centrality], "&gt;=" &amp; K26)</f>
        <v>0</v>
      </c>
      <c r="M25" s="46">
        <f t="shared" si="5"/>
        <v>0</v>
      </c>
      <c r="N25" s="47">
        <f>COUNTIF(Vertices[Closeness Centrality], "&gt;= " &amp; M25) - COUNTIF(Vertices[Closeness Centrality], "&gt;=" &amp; M26)</f>
        <v>0</v>
      </c>
      <c r="O25" s="46">
        <f t="shared" si="6"/>
        <v>0</v>
      </c>
      <c r="P25" s="47">
        <f>COUNTIF(Vertices[Eigenvector Centrality], "&gt;= " &amp; O25) - COUNTIF(Vertices[Eigenvector Centrality], "&gt;=" &amp; O26)</f>
        <v>0</v>
      </c>
      <c r="Q25" s="46">
        <f t="shared" si="7"/>
        <v>0</v>
      </c>
      <c r="R25" s="47">
        <f>COUNTIF(Vertices[PageRank], "&gt;= " &amp; Q25) - COUNTIF(Vertices[PageRank], "&gt;=" &amp; Q26)</f>
        <v>0</v>
      </c>
      <c r="S25" s="46">
        <f t="shared" si="8"/>
        <v>0</v>
      </c>
      <c r="T25" s="51">
        <f>COUNTIF(Vertices[Clustering Coefficient], "&gt;= " &amp; S25) - COUNTIF(Vertices[Clustering Coefficient], "&gt;=" &amp; S26)</f>
        <v>0</v>
      </c>
      <c r="U25" s="46" t="e">
        <f t="shared" ca="1" si="9"/>
        <v>#REF!</v>
      </c>
      <c r="V25" s="47" t="e">
        <f t="shared" ca="1" si="0"/>
        <v>#REF!</v>
      </c>
    </row>
    <row r="26" spans="1:22">
      <c r="E26" s="39">
        <f t="shared" si="1"/>
        <v>0</v>
      </c>
      <c r="F26" s="3">
        <f>COUNTIF(Vertices[Degree], "&gt;= " &amp; E26) - COUNTIF(Vertices[Degree], "&gt;=" &amp; E27)</f>
        <v>0</v>
      </c>
      <c r="G26" s="44">
        <f t="shared" si="2"/>
        <v>0</v>
      </c>
      <c r="H26" s="45">
        <f>COUNTIF(Vertices[In-Degree], "&gt;= " &amp; G26) - COUNTIF(Vertices[In-Degree], "&gt;=" &amp; G27)</f>
        <v>0</v>
      </c>
      <c r="I26" s="44">
        <f t="shared" si="3"/>
        <v>0</v>
      </c>
      <c r="J26" s="45">
        <f>COUNTIF(Vertices[Out-Degree], "&gt;= " &amp; I26) - COUNTIF(Vertices[Out-Degree], "&gt;=" &amp; I27)</f>
        <v>0</v>
      </c>
      <c r="K26" s="44">
        <f t="shared" si="4"/>
        <v>0</v>
      </c>
      <c r="L26" s="45">
        <f>COUNTIF(Vertices[Betweenness Centrality], "&gt;= " &amp; K26) - COUNTIF(Vertices[Betweenness Centrality], "&gt;=" &amp; K27)</f>
        <v>0</v>
      </c>
      <c r="M26" s="44">
        <f t="shared" si="5"/>
        <v>0</v>
      </c>
      <c r="N26" s="45">
        <f>COUNTIF(Vertices[Closeness Centrality], "&gt;= " &amp; M26) - COUNTIF(Vertices[Closeness Centrality], "&gt;=" &amp; M27)</f>
        <v>0</v>
      </c>
      <c r="O26" s="44">
        <f t="shared" si="6"/>
        <v>0</v>
      </c>
      <c r="P26" s="45">
        <f>COUNTIF(Vertices[Eigenvector Centrality], "&gt;= " &amp; O26) - COUNTIF(Vertices[Eigenvector Centrality], "&gt;=" &amp; O27)</f>
        <v>0</v>
      </c>
      <c r="Q26" s="44">
        <f t="shared" si="7"/>
        <v>0</v>
      </c>
      <c r="R26" s="45">
        <f>COUNTIF(Vertices[PageRank], "&gt;= " &amp; Q26) - COUNTIF(Vertices[PageRank], "&gt;=" &amp; Q27)</f>
        <v>0</v>
      </c>
      <c r="S26" s="44">
        <f t="shared" si="8"/>
        <v>0</v>
      </c>
      <c r="T26" s="50">
        <f>COUNTIF(Vertices[Clustering Coefficient], "&gt;= " &amp; S26) - COUNTIF(Vertices[Clustering Coefficient], "&gt;=" &amp; S27)</f>
        <v>0</v>
      </c>
      <c r="U26" s="44" t="e">
        <f t="shared" ca="1" si="9"/>
        <v>#REF!</v>
      </c>
      <c r="V26" s="45" t="e">
        <f t="shared" ca="1" si="0"/>
        <v>#REF!</v>
      </c>
    </row>
    <row r="27" spans="1:22">
      <c r="E27" s="39">
        <f t="shared" si="1"/>
        <v>0</v>
      </c>
      <c r="F27" s="3">
        <f>COUNTIF(Vertices[Degree], "&gt;= " &amp; E27) - COUNTIF(Vertices[Degree], "&gt;=" &amp; E28)</f>
        <v>0</v>
      </c>
      <c r="G27" s="46">
        <f t="shared" si="2"/>
        <v>0</v>
      </c>
      <c r="H27" s="47">
        <f>COUNTIF(Vertices[In-Degree], "&gt;= " &amp; G27) - COUNTIF(Vertices[In-Degree], "&gt;=" &amp; G28)</f>
        <v>0</v>
      </c>
      <c r="I27" s="46">
        <f t="shared" si="3"/>
        <v>0</v>
      </c>
      <c r="J27" s="47">
        <f>COUNTIF(Vertices[Out-Degree], "&gt;= " &amp; I27) - COUNTIF(Vertices[Out-Degree], "&gt;=" &amp; I28)</f>
        <v>0</v>
      </c>
      <c r="K27" s="46">
        <f t="shared" si="4"/>
        <v>0</v>
      </c>
      <c r="L27" s="47">
        <f>COUNTIF(Vertices[Betweenness Centrality], "&gt;= " &amp; K27) - COUNTIF(Vertices[Betweenness Centrality], "&gt;=" &amp; K28)</f>
        <v>0</v>
      </c>
      <c r="M27" s="46">
        <f t="shared" si="5"/>
        <v>0</v>
      </c>
      <c r="N27" s="47">
        <f>COUNTIF(Vertices[Closeness Centrality], "&gt;= " &amp; M27) - COUNTIF(Vertices[Closeness Centrality], "&gt;=" &amp; M28)</f>
        <v>0</v>
      </c>
      <c r="O27" s="46">
        <f t="shared" si="6"/>
        <v>0</v>
      </c>
      <c r="P27" s="47">
        <f>COUNTIF(Vertices[Eigenvector Centrality], "&gt;= " &amp; O27) - COUNTIF(Vertices[Eigenvector Centrality], "&gt;=" &amp; O28)</f>
        <v>0</v>
      </c>
      <c r="Q27" s="46">
        <f t="shared" si="7"/>
        <v>0</v>
      </c>
      <c r="R27" s="47">
        <f>COUNTIF(Vertices[PageRank], "&gt;= " &amp; Q27) - COUNTIF(Vertices[PageRank], "&gt;=" &amp; Q28)</f>
        <v>0</v>
      </c>
      <c r="S27" s="46">
        <f t="shared" si="8"/>
        <v>0</v>
      </c>
      <c r="T27" s="51">
        <f>COUNTIF(Vertices[Clustering Coefficient], "&gt;= " &amp; S27) - COUNTIF(Vertices[Clustering Coefficient], "&gt;=" &amp; S28)</f>
        <v>0</v>
      </c>
      <c r="U27" s="46" t="e">
        <f t="shared" ca="1" si="9"/>
        <v>#REF!</v>
      </c>
      <c r="V27" s="47" t="e">
        <f t="shared" ca="1" si="0"/>
        <v>#REF!</v>
      </c>
    </row>
    <row r="28" spans="1:22">
      <c r="E28" s="39">
        <f t="shared" si="1"/>
        <v>0</v>
      </c>
      <c r="F28" s="3">
        <f>COUNTIF(Vertices[Degree], "&gt;= " &amp; E28) - COUNTIF(Vertices[Degree], "&gt;=" &amp; E29)</f>
        <v>0</v>
      </c>
      <c r="G28" s="44">
        <f t="shared" si="2"/>
        <v>0</v>
      </c>
      <c r="H28" s="45">
        <f>COUNTIF(Vertices[In-Degree], "&gt;= " &amp; G28) - COUNTIF(Vertices[In-Degree], "&gt;=" &amp; G29)</f>
        <v>0</v>
      </c>
      <c r="I28" s="44">
        <f t="shared" si="3"/>
        <v>0</v>
      </c>
      <c r="J28" s="45">
        <f>COUNTIF(Vertices[Out-Degree], "&gt;= " &amp; I28) - COUNTIF(Vertices[Out-Degree], "&gt;=" &amp; I29)</f>
        <v>0</v>
      </c>
      <c r="K28" s="44">
        <f t="shared" si="4"/>
        <v>0</v>
      </c>
      <c r="L28" s="45">
        <f>COUNTIF(Vertices[Betweenness Centrality], "&gt;= " &amp; K28) - COUNTIF(Vertices[Betweenness Centrality], "&gt;=" &amp; K29)</f>
        <v>0</v>
      </c>
      <c r="M28" s="44">
        <f t="shared" si="5"/>
        <v>0</v>
      </c>
      <c r="N28" s="45">
        <f>COUNTIF(Vertices[Closeness Centrality], "&gt;= " &amp; M28) - COUNTIF(Vertices[Closeness Centrality], "&gt;=" &amp; M29)</f>
        <v>0</v>
      </c>
      <c r="O28" s="44">
        <f t="shared" si="6"/>
        <v>0</v>
      </c>
      <c r="P28" s="45">
        <f>COUNTIF(Vertices[Eigenvector Centrality], "&gt;= " &amp; O28) - COUNTIF(Vertices[Eigenvector Centrality], "&gt;=" &amp; O29)</f>
        <v>0</v>
      </c>
      <c r="Q28" s="44">
        <f t="shared" si="7"/>
        <v>0</v>
      </c>
      <c r="R28" s="45">
        <f>COUNTIF(Vertices[PageRank], "&gt;= " &amp; Q28) - COUNTIF(Vertices[PageRank], "&gt;=" &amp; Q29)</f>
        <v>0</v>
      </c>
      <c r="S28" s="44">
        <f t="shared" si="8"/>
        <v>0</v>
      </c>
      <c r="T28" s="50">
        <f>COUNTIF(Vertices[Clustering Coefficient], "&gt;= " &amp; S28) - COUNTIF(Vertices[Clustering Coefficient], "&gt;=" &amp; S29)</f>
        <v>0</v>
      </c>
      <c r="U28" s="44" t="e">
        <f t="shared" ca="1" si="9"/>
        <v>#REF!</v>
      </c>
      <c r="V28" s="45" t="e">
        <f t="shared" ca="1" si="0"/>
        <v>#REF!</v>
      </c>
    </row>
    <row r="29" spans="1:22">
      <c r="E29" s="39">
        <f t="shared" si="1"/>
        <v>0</v>
      </c>
      <c r="F29" s="3">
        <f>COUNTIF(Vertices[Degree], "&gt;= " &amp; E29) - COUNTIF(Vertices[Degree], "&gt;=" &amp; E30)</f>
        <v>0</v>
      </c>
      <c r="G29" s="46">
        <f t="shared" si="2"/>
        <v>0</v>
      </c>
      <c r="H29" s="47">
        <f>COUNTIF(Vertices[In-Degree], "&gt;= " &amp; G29) - COUNTIF(Vertices[In-Degree], "&gt;=" &amp; G30)</f>
        <v>0</v>
      </c>
      <c r="I29" s="46">
        <f t="shared" si="3"/>
        <v>0</v>
      </c>
      <c r="J29" s="47">
        <f>COUNTIF(Vertices[Out-Degree], "&gt;= " &amp; I29) - COUNTIF(Vertices[Out-Degree], "&gt;=" &amp; I30)</f>
        <v>0</v>
      </c>
      <c r="K29" s="46">
        <f t="shared" si="4"/>
        <v>0</v>
      </c>
      <c r="L29" s="47">
        <f>COUNTIF(Vertices[Betweenness Centrality], "&gt;= " &amp; K29) - COUNTIF(Vertices[Betweenness Centrality], "&gt;=" &amp; K30)</f>
        <v>0</v>
      </c>
      <c r="M29" s="46">
        <f t="shared" si="5"/>
        <v>0</v>
      </c>
      <c r="N29" s="47">
        <f>COUNTIF(Vertices[Closeness Centrality], "&gt;= " &amp; M29) - COUNTIF(Vertices[Closeness Centrality], "&gt;=" &amp; M30)</f>
        <v>0</v>
      </c>
      <c r="O29" s="46">
        <f t="shared" si="6"/>
        <v>0</v>
      </c>
      <c r="P29" s="47">
        <f>COUNTIF(Vertices[Eigenvector Centrality], "&gt;= " &amp; O29) - COUNTIF(Vertices[Eigenvector Centrality], "&gt;=" &amp; O30)</f>
        <v>0</v>
      </c>
      <c r="Q29" s="46">
        <f t="shared" si="7"/>
        <v>0</v>
      </c>
      <c r="R29" s="47">
        <f>COUNTIF(Vertices[PageRank], "&gt;= " &amp; Q29) - COUNTIF(Vertices[PageRank], "&gt;=" &amp; Q30)</f>
        <v>0</v>
      </c>
      <c r="S29" s="46">
        <f t="shared" si="8"/>
        <v>0</v>
      </c>
      <c r="T29" s="51">
        <f>COUNTIF(Vertices[Clustering Coefficient], "&gt;= " &amp; S29) - COUNTIF(Vertices[Clustering Coefficient], "&gt;=" &amp; S30)</f>
        <v>0</v>
      </c>
      <c r="U29" s="46" t="e">
        <f t="shared" ca="1" si="9"/>
        <v>#REF!</v>
      </c>
      <c r="V29" s="47" t="e">
        <f t="shared" ca="1" si="0"/>
        <v>#REF!</v>
      </c>
    </row>
    <row r="30" spans="1:22">
      <c r="E30" s="39">
        <f t="shared" si="1"/>
        <v>0</v>
      </c>
      <c r="F30" s="3">
        <f>COUNTIF(Vertices[Degree], "&gt;= " &amp; E30) - COUNTIF(Vertices[Degree], "&gt;=" &amp; E31)</f>
        <v>0</v>
      </c>
      <c r="G30" s="44">
        <f t="shared" si="2"/>
        <v>0</v>
      </c>
      <c r="H30" s="45">
        <f>COUNTIF(Vertices[In-Degree], "&gt;= " &amp; G30) - COUNTIF(Vertices[In-Degree], "&gt;=" &amp; G31)</f>
        <v>0</v>
      </c>
      <c r="I30" s="44">
        <f t="shared" si="3"/>
        <v>0</v>
      </c>
      <c r="J30" s="45">
        <f>COUNTIF(Vertices[Out-Degree], "&gt;= " &amp; I30) - COUNTIF(Vertices[Out-Degree], "&gt;=" &amp; I31)</f>
        <v>0</v>
      </c>
      <c r="K30" s="44">
        <f t="shared" si="4"/>
        <v>0</v>
      </c>
      <c r="L30" s="45">
        <f>COUNTIF(Vertices[Betweenness Centrality], "&gt;= " &amp; K30) - COUNTIF(Vertices[Betweenness Centrality], "&gt;=" &amp; K31)</f>
        <v>0</v>
      </c>
      <c r="M30" s="44">
        <f t="shared" si="5"/>
        <v>0</v>
      </c>
      <c r="N30" s="45">
        <f>COUNTIF(Vertices[Closeness Centrality], "&gt;= " &amp; M30) - COUNTIF(Vertices[Closeness Centrality], "&gt;=" &amp; M31)</f>
        <v>0</v>
      </c>
      <c r="O30" s="44">
        <f t="shared" si="6"/>
        <v>0</v>
      </c>
      <c r="P30" s="45">
        <f>COUNTIF(Vertices[Eigenvector Centrality], "&gt;= " &amp; O30) - COUNTIF(Vertices[Eigenvector Centrality], "&gt;=" &amp; O31)</f>
        <v>0</v>
      </c>
      <c r="Q30" s="44">
        <f t="shared" si="7"/>
        <v>0</v>
      </c>
      <c r="R30" s="45">
        <f>COUNTIF(Vertices[PageRank], "&gt;= " &amp; Q30) - COUNTIF(Vertices[PageRank], "&gt;=" &amp; Q31)</f>
        <v>0</v>
      </c>
      <c r="S30" s="44">
        <f t="shared" si="8"/>
        <v>0</v>
      </c>
      <c r="T30" s="50">
        <f>COUNTIF(Vertices[Clustering Coefficient], "&gt;= " &amp; S30) - COUNTIF(Vertices[Clustering Coefficient], "&gt;=" &amp; S31)</f>
        <v>0</v>
      </c>
      <c r="U30" s="44" t="e">
        <f t="shared" ca="1" si="9"/>
        <v>#REF!</v>
      </c>
      <c r="V30" s="45" t="e">
        <f t="shared" ca="1" si="0"/>
        <v>#REF!</v>
      </c>
    </row>
    <row r="31" spans="1:22">
      <c r="E31" s="39">
        <f t="shared" si="1"/>
        <v>0</v>
      </c>
      <c r="F31" s="3">
        <f>COUNTIF(Vertices[Degree], "&gt;= " &amp; E31) - COUNTIF(Vertices[Degree], "&gt;=" &amp; E32)</f>
        <v>0</v>
      </c>
      <c r="G31" s="46">
        <f t="shared" si="2"/>
        <v>0</v>
      </c>
      <c r="H31" s="47">
        <f>COUNTIF(Vertices[In-Degree], "&gt;= " &amp; G31) - COUNTIF(Vertices[In-Degree], "&gt;=" &amp; G32)</f>
        <v>0</v>
      </c>
      <c r="I31" s="46">
        <f t="shared" si="3"/>
        <v>0</v>
      </c>
      <c r="J31" s="47">
        <f>COUNTIF(Vertices[Out-Degree], "&gt;= " &amp; I31) - COUNTIF(Vertices[Out-Degree], "&gt;=" &amp; I32)</f>
        <v>0</v>
      </c>
      <c r="K31" s="46">
        <f t="shared" si="4"/>
        <v>0</v>
      </c>
      <c r="L31" s="47">
        <f>COUNTIF(Vertices[Betweenness Centrality], "&gt;= " &amp; K31) - COUNTIF(Vertices[Betweenness Centrality], "&gt;=" &amp; K32)</f>
        <v>0</v>
      </c>
      <c r="M31" s="46">
        <f t="shared" si="5"/>
        <v>0</v>
      </c>
      <c r="N31" s="47">
        <f>COUNTIF(Vertices[Closeness Centrality], "&gt;= " &amp; M31) - COUNTIF(Vertices[Closeness Centrality], "&gt;=" &amp; M32)</f>
        <v>0</v>
      </c>
      <c r="O31" s="46">
        <f t="shared" si="6"/>
        <v>0</v>
      </c>
      <c r="P31" s="47">
        <f>COUNTIF(Vertices[Eigenvector Centrality], "&gt;= " &amp; O31) - COUNTIF(Vertices[Eigenvector Centrality], "&gt;=" &amp; O32)</f>
        <v>0</v>
      </c>
      <c r="Q31" s="46">
        <f t="shared" si="7"/>
        <v>0</v>
      </c>
      <c r="R31" s="47">
        <f>COUNTIF(Vertices[PageRank], "&gt;= " &amp; Q31) - COUNTIF(Vertices[PageRank], "&gt;=" &amp; Q32)</f>
        <v>0</v>
      </c>
      <c r="S31" s="46">
        <f t="shared" si="8"/>
        <v>0</v>
      </c>
      <c r="T31" s="51">
        <f>COUNTIF(Vertices[Clustering Coefficient], "&gt;= " &amp; S31) - COUNTIF(Vertices[Clustering Coefficient], "&gt;=" &amp; S32)</f>
        <v>0</v>
      </c>
      <c r="U31" s="46" t="e">
        <f t="shared" ca="1" si="9"/>
        <v>#REF!</v>
      </c>
      <c r="V31" s="47" t="e">
        <f t="shared" ca="1" si="0"/>
        <v>#REF!</v>
      </c>
    </row>
    <row r="32" spans="1:22">
      <c r="E32" s="39">
        <f t="shared" si="1"/>
        <v>0</v>
      </c>
      <c r="F32" s="3">
        <f>COUNTIF(Vertices[Degree], "&gt;= " &amp; E32) - COUNTIF(Vertices[Degree], "&gt;=" &amp; E33)</f>
        <v>0</v>
      </c>
      <c r="G32" s="44">
        <f t="shared" si="2"/>
        <v>0</v>
      </c>
      <c r="H32" s="45">
        <f>COUNTIF(Vertices[In-Degree], "&gt;= " &amp; G32) - COUNTIF(Vertices[In-Degree], "&gt;=" &amp; G33)</f>
        <v>0</v>
      </c>
      <c r="I32" s="44">
        <f t="shared" si="3"/>
        <v>0</v>
      </c>
      <c r="J32" s="45">
        <f>COUNTIF(Vertices[Out-Degree], "&gt;= " &amp; I32) - COUNTIF(Vertices[Out-Degree], "&gt;=" &amp; I33)</f>
        <v>0</v>
      </c>
      <c r="K32" s="44">
        <f t="shared" si="4"/>
        <v>0</v>
      </c>
      <c r="L32" s="45">
        <f>COUNTIF(Vertices[Betweenness Centrality], "&gt;= " &amp; K32) - COUNTIF(Vertices[Betweenness Centrality], "&gt;=" &amp; K33)</f>
        <v>0</v>
      </c>
      <c r="M32" s="44">
        <f t="shared" si="5"/>
        <v>0</v>
      </c>
      <c r="N32" s="45">
        <f>COUNTIF(Vertices[Closeness Centrality], "&gt;= " &amp; M32) - COUNTIF(Vertices[Closeness Centrality], "&gt;=" &amp; M33)</f>
        <v>0</v>
      </c>
      <c r="O32" s="44">
        <f t="shared" si="6"/>
        <v>0</v>
      </c>
      <c r="P32" s="45">
        <f>COUNTIF(Vertices[Eigenvector Centrality], "&gt;= " &amp; O32) - COUNTIF(Vertices[Eigenvector Centrality], "&gt;=" &amp; O33)</f>
        <v>0</v>
      </c>
      <c r="Q32" s="44">
        <f t="shared" si="7"/>
        <v>0</v>
      </c>
      <c r="R32" s="45">
        <f>COUNTIF(Vertices[PageRank], "&gt;= " &amp; Q32) - COUNTIF(Vertices[PageRank], "&gt;=" &amp; Q33)</f>
        <v>0</v>
      </c>
      <c r="S32" s="44">
        <f t="shared" si="8"/>
        <v>0</v>
      </c>
      <c r="T32" s="50">
        <f>COUNTIF(Vertices[Clustering Coefficient], "&gt;= " &amp; S32) - COUNTIF(Vertices[Clustering Coefficient], "&gt;=" &amp; S33)</f>
        <v>0</v>
      </c>
      <c r="U32" s="44" t="e">
        <f t="shared" ca="1" si="9"/>
        <v>#REF!</v>
      </c>
      <c r="V32" s="45" t="e">
        <f t="shared" ca="1" si="0"/>
        <v>#REF!</v>
      </c>
    </row>
    <row r="33" spans="1:22">
      <c r="A33" s="40" t="s">
        <v>95</v>
      </c>
      <c r="B33" s="53" t="str">
        <f>IF(COUNT(Vertices[Degree])&gt;0, E2, NoMetricMessage)</f>
        <v>Not Available</v>
      </c>
      <c r="E33" s="39">
        <f t="shared" si="1"/>
        <v>0</v>
      </c>
      <c r="F33" s="3">
        <f>COUNTIF(Vertices[Degree], "&gt;= " &amp; E33) - COUNTIF(Vertices[Degree], "&gt;=" &amp; E34)</f>
        <v>0</v>
      </c>
      <c r="G33" s="46">
        <f t="shared" si="2"/>
        <v>0</v>
      </c>
      <c r="H33" s="47">
        <f>COUNTIF(Vertices[In-Degree], "&gt;= " &amp; G33) - COUNTIF(Vertices[In-Degree], "&gt;=" &amp; G34)</f>
        <v>0</v>
      </c>
      <c r="I33" s="46">
        <f t="shared" si="3"/>
        <v>0</v>
      </c>
      <c r="J33" s="47">
        <f>COUNTIF(Vertices[Out-Degree], "&gt;= " &amp; I33) - COUNTIF(Vertices[Out-Degree], "&gt;=" &amp; I34)</f>
        <v>0</v>
      </c>
      <c r="K33" s="46">
        <f t="shared" si="4"/>
        <v>0</v>
      </c>
      <c r="L33" s="47">
        <f>COUNTIF(Vertices[Betweenness Centrality], "&gt;= " &amp; K33) - COUNTIF(Vertices[Betweenness Centrality], "&gt;=" &amp; K34)</f>
        <v>0</v>
      </c>
      <c r="M33" s="46">
        <f t="shared" si="5"/>
        <v>0</v>
      </c>
      <c r="N33" s="47">
        <f>COUNTIF(Vertices[Closeness Centrality], "&gt;= " &amp; M33) - COUNTIF(Vertices[Closeness Centrality], "&gt;=" &amp; M34)</f>
        <v>0</v>
      </c>
      <c r="O33" s="46">
        <f t="shared" si="6"/>
        <v>0</v>
      </c>
      <c r="P33" s="47">
        <f>COUNTIF(Vertices[Eigenvector Centrality], "&gt;= " &amp; O33) - COUNTIF(Vertices[Eigenvector Centrality], "&gt;=" &amp; O34)</f>
        <v>0</v>
      </c>
      <c r="Q33" s="46">
        <f t="shared" si="7"/>
        <v>0</v>
      </c>
      <c r="R33" s="47">
        <f>COUNTIF(Vertices[PageRank], "&gt;= " &amp; Q33) - COUNTIF(Vertices[PageRank], "&gt;=" &amp; Q34)</f>
        <v>0</v>
      </c>
      <c r="S33" s="46">
        <f t="shared" si="8"/>
        <v>0</v>
      </c>
      <c r="T33" s="51">
        <f>COUNTIF(Vertices[Clustering Coefficient], "&gt;= " &amp; S33) - COUNTIF(Vertices[Clustering Coefficient], "&gt;=" &amp; S34)</f>
        <v>0</v>
      </c>
      <c r="U33" s="46" t="e">
        <f t="shared" ca="1" si="9"/>
        <v>#REF!</v>
      </c>
      <c r="V33" s="47" t="e">
        <f t="shared" ca="1" si="0"/>
        <v>#REF!</v>
      </c>
    </row>
    <row r="34" spans="1:22">
      <c r="A34" s="40" t="s">
        <v>96</v>
      </c>
      <c r="B34" s="53" t="str">
        <f>IF(COUNT(Vertices[Degree])&gt;0, E45, NoMetricMessage)</f>
        <v>Not Available</v>
      </c>
      <c r="E34" s="39">
        <f t="shared" si="1"/>
        <v>0</v>
      </c>
      <c r="F34" s="3">
        <f>COUNTIF(Vertices[Degree], "&gt;= " &amp; E34) - COUNTIF(Vertices[Degree], "&gt;=" &amp; E35)</f>
        <v>0</v>
      </c>
      <c r="G34" s="44">
        <f t="shared" si="2"/>
        <v>0</v>
      </c>
      <c r="H34" s="45">
        <f>COUNTIF(Vertices[In-Degree], "&gt;= " &amp; G34) - COUNTIF(Vertices[In-Degree], "&gt;=" &amp; G35)</f>
        <v>0</v>
      </c>
      <c r="I34" s="44">
        <f t="shared" si="3"/>
        <v>0</v>
      </c>
      <c r="J34" s="45">
        <f>COUNTIF(Vertices[Out-Degree], "&gt;= " &amp; I34) - COUNTIF(Vertices[Out-Degree], "&gt;=" &amp; I35)</f>
        <v>0</v>
      </c>
      <c r="K34" s="44">
        <f t="shared" si="4"/>
        <v>0</v>
      </c>
      <c r="L34" s="45">
        <f>COUNTIF(Vertices[Betweenness Centrality], "&gt;= " &amp; K34) - COUNTIF(Vertices[Betweenness Centrality], "&gt;=" &amp; K35)</f>
        <v>0</v>
      </c>
      <c r="M34" s="44">
        <f t="shared" si="5"/>
        <v>0</v>
      </c>
      <c r="N34" s="45">
        <f>COUNTIF(Vertices[Closeness Centrality], "&gt;= " &amp; M34) - COUNTIF(Vertices[Closeness Centrality], "&gt;=" &amp; M35)</f>
        <v>0</v>
      </c>
      <c r="O34" s="44">
        <f t="shared" si="6"/>
        <v>0</v>
      </c>
      <c r="P34" s="45">
        <f>COUNTIF(Vertices[Eigenvector Centrality], "&gt;= " &amp; O34) - COUNTIF(Vertices[Eigenvector Centrality], "&gt;=" &amp; O35)</f>
        <v>0</v>
      </c>
      <c r="Q34" s="44">
        <f t="shared" si="7"/>
        <v>0</v>
      </c>
      <c r="R34" s="45">
        <f>COUNTIF(Vertices[PageRank], "&gt;= " &amp; Q34) - COUNTIF(Vertices[PageRank], "&gt;=" &amp; Q35)</f>
        <v>0</v>
      </c>
      <c r="S34" s="44">
        <f t="shared" si="8"/>
        <v>0</v>
      </c>
      <c r="T34" s="50">
        <f>COUNTIF(Vertices[Clustering Coefficient], "&gt;= " &amp; S34) - COUNTIF(Vertices[Clustering Coefficient], "&gt;=" &amp; S35)</f>
        <v>0</v>
      </c>
      <c r="U34" s="44" t="e">
        <f t="shared" ca="1" si="9"/>
        <v>#REF!</v>
      </c>
      <c r="V34" s="45" t="e">
        <f t="shared" ca="1" si="0"/>
        <v>#REF!</v>
      </c>
    </row>
    <row r="35" spans="1:22">
      <c r="A35" s="40" t="s">
        <v>97</v>
      </c>
      <c r="B35" s="54" t="str">
        <f>IFERROR(AVERAGE(Vertices[Degree]),NoMetricMessage)</f>
        <v>Not Available</v>
      </c>
      <c r="E35" s="39">
        <f t="shared" si="1"/>
        <v>0</v>
      </c>
      <c r="F35" s="3">
        <f>COUNTIF(Vertices[Degree], "&gt;= " &amp; E35) - COUNTIF(Vertices[Degree], "&gt;=" &amp; E36)</f>
        <v>0</v>
      </c>
      <c r="G35" s="46">
        <f t="shared" si="2"/>
        <v>0</v>
      </c>
      <c r="H35" s="47">
        <f>COUNTIF(Vertices[In-Degree], "&gt;= " &amp; G35) - COUNTIF(Vertices[In-Degree], "&gt;=" &amp; G36)</f>
        <v>0</v>
      </c>
      <c r="I35" s="46">
        <f t="shared" si="3"/>
        <v>0</v>
      </c>
      <c r="J35" s="47">
        <f>COUNTIF(Vertices[Out-Degree], "&gt;= " &amp; I35) - COUNTIF(Vertices[Out-Degree], "&gt;=" &amp; I36)</f>
        <v>0</v>
      </c>
      <c r="K35" s="46">
        <f t="shared" si="4"/>
        <v>0</v>
      </c>
      <c r="L35" s="47">
        <f>COUNTIF(Vertices[Betweenness Centrality], "&gt;= " &amp; K35) - COUNTIF(Vertices[Betweenness Centrality], "&gt;=" &amp; K36)</f>
        <v>0</v>
      </c>
      <c r="M35" s="46">
        <f t="shared" si="5"/>
        <v>0</v>
      </c>
      <c r="N35" s="47">
        <f>COUNTIF(Vertices[Closeness Centrality], "&gt;= " &amp; M35) - COUNTIF(Vertices[Closeness Centrality], "&gt;=" &amp; M36)</f>
        <v>0</v>
      </c>
      <c r="O35" s="46">
        <f t="shared" si="6"/>
        <v>0</v>
      </c>
      <c r="P35" s="47">
        <f>COUNTIF(Vertices[Eigenvector Centrality], "&gt;= " &amp; O35) - COUNTIF(Vertices[Eigenvector Centrality], "&gt;=" &amp; O36)</f>
        <v>0</v>
      </c>
      <c r="Q35" s="46">
        <f t="shared" si="7"/>
        <v>0</v>
      </c>
      <c r="R35" s="47">
        <f>COUNTIF(Vertices[PageRank], "&gt;= " &amp; Q35) - COUNTIF(Vertices[PageRank], "&gt;=" &amp; Q36)</f>
        <v>0</v>
      </c>
      <c r="S35" s="46">
        <f t="shared" si="8"/>
        <v>0</v>
      </c>
      <c r="T35" s="51">
        <f>COUNTIF(Vertices[Clustering Coefficient], "&gt;= " &amp; S35) - COUNTIF(Vertices[Clustering Coefficient], "&gt;=" &amp; S36)</f>
        <v>0</v>
      </c>
      <c r="U35" s="46" t="e">
        <f t="shared" ca="1" si="9"/>
        <v>#REF!</v>
      </c>
      <c r="V35" s="47" t="e">
        <f t="shared" ca="1" si="0"/>
        <v>#REF!</v>
      </c>
    </row>
    <row r="36" spans="1:22">
      <c r="A36" s="40" t="s">
        <v>98</v>
      </c>
      <c r="B36" s="54" t="str">
        <f>IFERROR(MEDIAN(Vertices[Degree]),NoMetricMessage)</f>
        <v>Not Available</v>
      </c>
      <c r="E36" s="39">
        <f t="shared" si="1"/>
        <v>0</v>
      </c>
      <c r="F36" s="3">
        <f>COUNTIF(Vertices[Degree], "&gt;= " &amp; E36) - COUNTIF(Vertices[Degree], "&gt;=" &amp; E37)</f>
        <v>0</v>
      </c>
      <c r="G36" s="44">
        <f t="shared" si="2"/>
        <v>0</v>
      </c>
      <c r="H36" s="45">
        <f>COUNTIF(Vertices[In-Degree], "&gt;= " &amp; G36) - COUNTIF(Vertices[In-Degree], "&gt;=" &amp; G37)</f>
        <v>0</v>
      </c>
      <c r="I36" s="44">
        <f t="shared" si="3"/>
        <v>0</v>
      </c>
      <c r="J36" s="45">
        <f>COUNTIF(Vertices[Out-Degree], "&gt;= " &amp; I36) - COUNTIF(Vertices[Out-Degree], "&gt;=" &amp; I37)</f>
        <v>0</v>
      </c>
      <c r="K36" s="44">
        <f t="shared" si="4"/>
        <v>0</v>
      </c>
      <c r="L36" s="45">
        <f>COUNTIF(Vertices[Betweenness Centrality], "&gt;= " &amp; K36) - COUNTIF(Vertices[Betweenness Centrality], "&gt;=" &amp; K37)</f>
        <v>0</v>
      </c>
      <c r="M36" s="44">
        <f t="shared" si="5"/>
        <v>0</v>
      </c>
      <c r="N36" s="45">
        <f>COUNTIF(Vertices[Closeness Centrality], "&gt;= " &amp; M36) - COUNTIF(Vertices[Closeness Centrality], "&gt;=" &amp; M37)</f>
        <v>0</v>
      </c>
      <c r="O36" s="44">
        <f t="shared" si="6"/>
        <v>0</v>
      </c>
      <c r="P36" s="45">
        <f>COUNTIF(Vertices[Eigenvector Centrality], "&gt;= " &amp; O36) - COUNTIF(Vertices[Eigenvector Centrality], "&gt;=" &amp; O37)</f>
        <v>0</v>
      </c>
      <c r="Q36" s="44">
        <f t="shared" si="7"/>
        <v>0</v>
      </c>
      <c r="R36" s="45">
        <f>COUNTIF(Vertices[PageRank], "&gt;= " &amp; Q36) - COUNTIF(Vertices[PageRank], "&gt;=" &amp; Q37)</f>
        <v>0</v>
      </c>
      <c r="S36" s="44">
        <f t="shared" si="8"/>
        <v>0</v>
      </c>
      <c r="T36" s="50">
        <f>COUNTIF(Vertices[Clustering Coefficient], "&gt;= " &amp; S36) - COUNTIF(Vertices[Clustering Coefficient], "&gt;=" &amp; S37)</f>
        <v>0</v>
      </c>
      <c r="U36" s="44" t="e">
        <f t="shared" ca="1" si="9"/>
        <v>#REF!</v>
      </c>
      <c r="V36" s="45" t="e">
        <f t="shared" ca="1" si="0"/>
        <v>#REF!</v>
      </c>
    </row>
    <row r="37" spans="1:22">
      <c r="E37" s="39">
        <f t="shared" si="1"/>
        <v>0</v>
      </c>
      <c r="F37" s="3">
        <f>COUNTIF(Vertices[Degree], "&gt;= " &amp; E37) - COUNTIF(Vertices[Degree], "&gt;=" &amp; E38)</f>
        <v>0</v>
      </c>
      <c r="G37" s="46">
        <f t="shared" si="2"/>
        <v>0</v>
      </c>
      <c r="H37" s="47">
        <f>COUNTIF(Vertices[In-Degree], "&gt;= " &amp; G37) - COUNTIF(Vertices[In-Degree], "&gt;=" &amp; G38)</f>
        <v>0</v>
      </c>
      <c r="I37" s="46">
        <f t="shared" si="3"/>
        <v>0</v>
      </c>
      <c r="J37" s="47">
        <f>COUNTIF(Vertices[Out-Degree], "&gt;= " &amp; I37) - COUNTIF(Vertices[Out-Degree], "&gt;=" &amp; I38)</f>
        <v>0</v>
      </c>
      <c r="K37" s="46">
        <f t="shared" si="4"/>
        <v>0</v>
      </c>
      <c r="L37" s="47">
        <f>COUNTIF(Vertices[Betweenness Centrality], "&gt;= " &amp; K37) - COUNTIF(Vertices[Betweenness Centrality], "&gt;=" &amp; K38)</f>
        <v>0</v>
      </c>
      <c r="M37" s="46">
        <f t="shared" si="5"/>
        <v>0</v>
      </c>
      <c r="N37" s="47">
        <f>COUNTIF(Vertices[Closeness Centrality], "&gt;= " &amp; M37) - COUNTIF(Vertices[Closeness Centrality], "&gt;=" &amp; M38)</f>
        <v>0</v>
      </c>
      <c r="O37" s="46">
        <f t="shared" si="6"/>
        <v>0</v>
      </c>
      <c r="P37" s="47">
        <f>COUNTIF(Vertices[Eigenvector Centrality], "&gt;= " &amp; O37) - COUNTIF(Vertices[Eigenvector Centrality], "&gt;=" &amp; O38)</f>
        <v>0</v>
      </c>
      <c r="Q37" s="46">
        <f t="shared" si="7"/>
        <v>0</v>
      </c>
      <c r="R37" s="47">
        <f>COUNTIF(Vertices[PageRank], "&gt;= " &amp; Q37) - COUNTIF(Vertices[PageRank], "&gt;=" &amp; Q38)</f>
        <v>0</v>
      </c>
      <c r="S37" s="46">
        <f t="shared" si="8"/>
        <v>0</v>
      </c>
      <c r="T37" s="51">
        <f>COUNTIF(Vertices[Clustering Coefficient], "&gt;= " &amp; S37) - COUNTIF(Vertices[Clustering Coefficient], "&gt;=" &amp; S38)</f>
        <v>0</v>
      </c>
      <c r="U37" s="46" t="e">
        <f t="shared" ca="1" si="9"/>
        <v>#REF!</v>
      </c>
      <c r="V37" s="47" t="e">
        <f t="shared" ca="1" si="0"/>
        <v>#REF!</v>
      </c>
    </row>
    <row r="38" spans="1:22">
      <c r="E38" s="39">
        <f t="shared" si="1"/>
        <v>0</v>
      </c>
      <c r="F38" s="3">
        <f>COUNTIF(Vertices[Degree], "&gt;= " &amp; E38) - COUNTIF(Vertices[Degree], "&gt;=" &amp; E39)</f>
        <v>0</v>
      </c>
      <c r="G38" s="44">
        <f t="shared" si="2"/>
        <v>0</v>
      </c>
      <c r="H38" s="45">
        <f>COUNTIF(Vertices[In-Degree], "&gt;= " &amp; G38) - COUNTIF(Vertices[In-Degree], "&gt;=" &amp; G39)</f>
        <v>0</v>
      </c>
      <c r="I38" s="44">
        <f t="shared" si="3"/>
        <v>0</v>
      </c>
      <c r="J38" s="45">
        <f>COUNTIF(Vertices[Out-Degree], "&gt;= " &amp; I38) - COUNTIF(Vertices[Out-Degree], "&gt;=" &amp; I39)</f>
        <v>0</v>
      </c>
      <c r="K38" s="44">
        <f t="shared" si="4"/>
        <v>0</v>
      </c>
      <c r="L38" s="45">
        <f>COUNTIF(Vertices[Betweenness Centrality], "&gt;= " &amp; K38) - COUNTIF(Vertices[Betweenness Centrality], "&gt;=" &amp; K39)</f>
        <v>0</v>
      </c>
      <c r="M38" s="44">
        <f t="shared" si="5"/>
        <v>0</v>
      </c>
      <c r="N38" s="45">
        <f>COUNTIF(Vertices[Closeness Centrality], "&gt;= " &amp; M38) - COUNTIF(Vertices[Closeness Centrality], "&gt;=" &amp; M39)</f>
        <v>0</v>
      </c>
      <c r="O38" s="44">
        <f t="shared" si="6"/>
        <v>0</v>
      </c>
      <c r="P38" s="45">
        <f>COUNTIF(Vertices[Eigenvector Centrality], "&gt;= " &amp; O38) - COUNTIF(Vertices[Eigenvector Centrality], "&gt;=" &amp; O39)</f>
        <v>0</v>
      </c>
      <c r="Q38" s="44">
        <f t="shared" si="7"/>
        <v>0</v>
      </c>
      <c r="R38" s="45">
        <f>COUNTIF(Vertices[PageRank], "&gt;= " &amp; Q38) - COUNTIF(Vertices[PageRank], "&gt;=" &amp; Q39)</f>
        <v>0</v>
      </c>
      <c r="S38" s="44">
        <f t="shared" si="8"/>
        <v>0</v>
      </c>
      <c r="T38" s="50">
        <f>COUNTIF(Vertices[Clustering Coefficient], "&gt;= " &amp; S38) - COUNTIF(Vertices[Clustering Coefficient], "&gt;=" &amp; S39)</f>
        <v>0</v>
      </c>
      <c r="U38" s="44" t="e">
        <f t="shared" ca="1" si="9"/>
        <v>#REF!</v>
      </c>
      <c r="V38" s="45" t="e">
        <f t="shared" ca="1" si="0"/>
        <v>#REF!</v>
      </c>
    </row>
    <row r="39" spans="1:22">
      <c r="E39" s="39">
        <f t="shared" si="1"/>
        <v>0</v>
      </c>
      <c r="F39" s="3">
        <f>COUNTIF(Vertices[Degree], "&gt;= " &amp; E39) - COUNTIF(Vertices[Degree], "&gt;=" &amp; E40)</f>
        <v>0</v>
      </c>
      <c r="G39" s="46">
        <f t="shared" si="2"/>
        <v>0</v>
      </c>
      <c r="H39" s="47">
        <f>COUNTIF(Vertices[In-Degree], "&gt;= " &amp; G39) - COUNTIF(Vertices[In-Degree], "&gt;=" &amp; G40)</f>
        <v>0</v>
      </c>
      <c r="I39" s="46">
        <f t="shared" si="3"/>
        <v>0</v>
      </c>
      <c r="J39" s="47">
        <f>COUNTIF(Vertices[Out-Degree], "&gt;= " &amp; I39) - COUNTIF(Vertices[Out-Degree], "&gt;=" &amp; I40)</f>
        <v>0</v>
      </c>
      <c r="K39" s="46">
        <f t="shared" si="4"/>
        <v>0</v>
      </c>
      <c r="L39" s="47">
        <f>COUNTIF(Vertices[Betweenness Centrality], "&gt;= " &amp; K39) - COUNTIF(Vertices[Betweenness Centrality], "&gt;=" &amp; K40)</f>
        <v>0</v>
      </c>
      <c r="M39" s="46">
        <f t="shared" si="5"/>
        <v>0</v>
      </c>
      <c r="N39" s="47">
        <f>COUNTIF(Vertices[Closeness Centrality], "&gt;= " &amp; M39) - COUNTIF(Vertices[Closeness Centrality], "&gt;=" &amp; M40)</f>
        <v>0</v>
      </c>
      <c r="O39" s="46">
        <f t="shared" si="6"/>
        <v>0</v>
      </c>
      <c r="P39" s="47">
        <f>COUNTIF(Vertices[Eigenvector Centrality], "&gt;= " &amp; O39) - COUNTIF(Vertices[Eigenvector Centrality], "&gt;=" &amp; O40)</f>
        <v>0</v>
      </c>
      <c r="Q39" s="46">
        <f t="shared" si="7"/>
        <v>0</v>
      </c>
      <c r="R39" s="47">
        <f>COUNTIF(Vertices[PageRank], "&gt;= " &amp; Q39) - COUNTIF(Vertices[PageRank], "&gt;=" &amp; Q40)</f>
        <v>0</v>
      </c>
      <c r="S39" s="46">
        <f t="shared" si="8"/>
        <v>0</v>
      </c>
      <c r="T39" s="51">
        <f>COUNTIF(Vertices[Clustering Coefficient], "&gt;= " &amp; S39) - COUNTIF(Vertices[Clustering Coefficient], "&gt;=" &amp; S40)</f>
        <v>0</v>
      </c>
      <c r="U39" s="46" t="e">
        <f t="shared" ca="1" si="9"/>
        <v>#REF!</v>
      </c>
      <c r="V39" s="47" t="e">
        <f t="shared" ca="1" si="0"/>
        <v>#REF!</v>
      </c>
    </row>
    <row r="40" spans="1:22">
      <c r="E40" s="39">
        <f t="shared" si="1"/>
        <v>0</v>
      </c>
      <c r="F40" s="3">
        <f>COUNTIF(Vertices[Degree], "&gt;= " &amp; E40) - COUNTIF(Vertices[Degree], "&gt;=" &amp; E41)</f>
        <v>0</v>
      </c>
      <c r="G40" s="44">
        <f t="shared" si="2"/>
        <v>0</v>
      </c>
      <c r="H40" s="45">
        <f>COUNTIF(Vertices[In-Degree], "&gt;= " &amp; G40) - COUNTIF(Vertices[In-Degree], "&gt;=" &amp; G41)</f>
        <v>0</v>
      </c>
      <c r="I40" s="44">
        <f t="shared" si="3"/>
        <v>0</v>
      </c>
      <c r="J40" s="45">
        <f>COUNTIF(Vertices[Out-Degree], "&gt;= " &amp; I40) - COUNTIF(Vertices[Out-Degree], "&gt;=" &amp; I41)</f>
        <v>0</v>
      </c>
      <c r="K40" s="44">
        <f t="shared" si="4"/>
        <v>0</v>
      </c>
      <c r="L40" s="45">
        <f>COUNTIF(Vertices[Betweenness Centrality], "&gt;= " &amp; K40) - COUNTIF(Vertices[Betweenness Centrality], "&gt;=" &amp; K41)</f>
        <v>0</v>
      </c>
      <c r="M40" s="44">
        <f t="shared" si="5"/>
        <v>0</v>
      </c>
      <c r="N40" s="45">
        <f>COUNTIF(Vertices[Closeness Centrality], "&gt;= " &amp; M40) - COUNTIF(Vertices[Closeness Centrality], "&gt;=" &amp; M41)</f>
        <v>0</v>
      </c>
      <c r="O40" s="44">
        <f t="shared" si="6"/>
        <v>0</v>
      </c>
      <c r="P40" s="45">
        <f>COUNTIF(Vertices[Eigenvector Centrality], "&gt;= " &amp; O40) - COUNTIF(Vertices[Eigenvector Centrality], "&gt;=" &amp; O41)</f>
        <v>0</v>
      </c>
      <c r="Q40" s="44">
        <f t="shared" si="7"/>
        <v>0</v>
      </c>
      <c r="R40" s="45">
        <f>COUNTIF(Vertices[PageRank], "&gt;= " &amp; Q40) - COUNTIF(Vertices[PageRank], "&gt;=" &amp; Q41)</f>
        <v>0</v>
      </c>
      <c r="S40" s="44">
        <f t="shared" si="8"/>
        <v>0</v>
      </c>
      <c r="T40" s="50">
        <f>COUNTIF(Vertices[Clustering Coefficient], "&gt;= " &amp; S40) - COUNTIF(Vertices[Clustering Coefficient], "&gt;=" &amp; S41)</f>
        <v>0</v>
      </c>
      <c r="U40" s="44" t="e">
        <f t="shared" ca="1" si="9"/>
        <v>#REF!</v>
      </c>
      <c r="V40" s="45" t="e">
        <f t="shared" ca="1" si="0"/>
        <v>#REF!</v>
      </c>
    </row>
    <row r="41" spans="1:22">
      <c r="E41" s="39">
        <f t="shared" si="1"/>
        <v>0</v>
      </c>
      <c r="F41" s="3">
        <f>COUNTIF(Vertices[Degree], "&gt;= " &amp; E41) - COUNTIF(Vertices[Degree], "&gt;=" &amp; E42)</f>
        <v>0</v>
      </c>
      <c r="G41" s="46">
        <f t="shared" si="2"/>
        <v>0</v>
      </c>
      <c r="H41" s="47">
        <f>COUNTIF(Vertices[In-Degree], "&gt;= " &amp; G41) - COUNTIF(Vertices[In-Degree], "&gt;=" &amp; G42)</f>
        <v>0</v>
      </c>
      <c r="I41" s="46">
        <f t="shared" si="3"/>
        <v>0</v>
      </c>
      <c r="J41" s="47">
        <f>COUNTIF(Vertices[Out-Degree], "&gt;= " &amp; I41) - COUNTIF(Vertices[Out-Degree], "&gt;=" &amp; I42)</f>
        <v>0</v>
      </c>
      <c r="K41" s="46">
        <f t="shared" si="4"/>
        <v>0</v>
      </c>
      <c r="L41" s="47">
        <f>COUNTIF(Vertices[Betweenness Centrality], "&gt;= " &amp; K41) - COUNTIF(Vertices[Betweenness Centrality], "&gt;=" &amp; K42)</f>
        <v>0</v>
      </c>
      <c r="M41" s="46">
        <f t="shared" si="5"/>
        <v>0</v>
      </c>
      <c r="N41" s="47">
        <f>COUNTIF(Vertices[Closeness Centrality], "&gt;= " &amp; M41) - COUNTIF(Vertices[Closeness Centrality], "&gt;=" &amp; M42)</f>
        <v>0</v>
      </c>
      <c r="O41" s="46">
        <f t="shared" si="6"/>
        <v>0</v>
      </c>
      <c r="P41" s="47">
        <f>COUNTIF(Vertices[Eigenvector Centrality], "&gt;= " &amp; O41) - COUNTIF(Vertices[Eigenvector Centrality], "&gt;=" &amp; O42)</f>
        <v>0</v>
      </c>
      <c r="Q41" s="46">
        <f t="shared" si="7"/>
        <v>0</v>
      </c>
      <c r="R41" s="47">
        <f>COUNTIF(Vertices[PageRank], "&gt;= " &amp; Q41) - COUNTIF(Vertices[PageRank], "&gt;=" &amp; Q42)</f>
        <v>0</v>
      </c>
      <c r="S41" s="46">
        <f t="shared" si="8"/>
        <v>0</v>
      </c>
      <c r="T41" s="51">
        <f>COUNTIF(Vertices[Clustering Coefficient], "&gt;= " &amp; S41) - COUNTIF(Vertices[Clustering Coefficient], "&gt;=" &amp; S42)</f>
        <v>0</v>
      </c>
      <c r="U41" s="46" t="e">
        <f t="shared" ca="1" si="9"/>
        <v>#REF!</v>
      </c>
      <c r="V41" s="47" t="e">
        <f t="shared" ca="1" si="0"/>
        <v>#REF!</v>
      </c>
    </row>
    <row r="42" spans="1:22">
      <c r="E42" s="39">
        <f t="shared" si="1"/>
        <v>0</v>
      </c>
      <c r="F42" s="3">
        <f>COUNTIF(Vertices[Degree], "&gt;= " &amp; E42) - COUNTIF(Vertices[Degree], "&gt;=" &amp; E43)</f>
        <v>0</v>
      </c>
      <c r="G42" s="44">
        <f t="shared" si="2"/>
        <v>0</v>
      </c>
      <c r="H42" s="45">
        <f>COUNTIF(Vertices[In-Degree], "&gt;= " &amp; G42) - COUNTIF(Vertices[In-Degree], "&gt;=" &amp; G43)</f>
        <v>0</v>
      </c>
      <c r="I42" s="44">
        <f t="shared" si="3"/>
        <v>0</v>
      </c>
      <c r="J42" s="45">
        <f>COUNTIF(Vertices[Out-Degree], "&gt;= " &amp; I42) - COUNTIF(Vertices[Out-Degree], "&gt;=" &amp; I43)</f>
        <v>0</v>
      </c>
      <c r="K42" s="44">
        <f t="shared" si="4"/>
        <v>0</v>
      </c>
      <c r="L42" s="45">
        <f>COUNTIF(Vertices[Betweenness Centrality], "&gt;= " &amp; K42) - COUNTIF(Vertices[Betweenness Centrality], "&gt;=" &amp; K43)</f>
        <v>0</v>
      </c>
      <c r="M42" s="44">
        <f t="shared" si="5"/>
        <v>0</v>
      </c>
      <c r="N42" s="45">
        <f>COUNTIF(Vertices[Closeness Centrality], "&gt;= " &amp; M42) - COUNTIF(Vertices[Closeness Centrality], "&gt;=" &amp; M43)</f>
        <v>0</v>
      </c>
      <c r="O42" s="44">
        <f t="shared" si="6"/>
        <v>0</v>
      </c>
      <c r="P42" s="45">
        <f>COUNTIF(Vertices[Eigenvector Centrality], "&gt;= " &amp; O42) - COUNTIF(Vertices[Eigenvector Centrality], "&gt;=" &amp; O43)</f>
        <v>0</v>
      </c>
      <c r="Q42" s="44">
        <f t="shared" si="7"/>
        <v>0</v>
      </c>
      <c r="R42" s="45">
        <f>COUNTIF(Vertices[PageRank], "&gt;= " &amp; Q42) - COUNTIF(Vertices[PageRank], "&gt;=" &amp; Q43)</f>
        <v>0</v>
      </c>
      <c r="S42" s="44">
        <f t="shared" si="8"/>
        <v>0</v>
      </c>
      <c r="T42" s="50">
        <f>COUNTIF(Vertices[Clustering Coefficient], "&gt;= " &amp; S42) - COUNTIF(Vertices[Clustering Coefficient], "&gt;=" &amp; S43)</f>
        <v>0</v>
      </c>
      <c r="U42" s="44" t="e">
        <f t="shared" ca="1" si="9"/>
        <v>#REF!</v>
      </c>
      <c r="V42" s="45" t="e">
        <f t="shared" ca="1" si="0"/>
        <v>#REF!</v>
      </c>
    </row>
    <row r="43" spans="1:22">
      <c r="E43" s="39">
        <f t="shared" si="1"/>
        <v>0</v>
      </c>
      <c r="F43" s="3">
        <f>COUNTIF(Vertices[Degree], "&gt;= " &amp; E43) - COUNTIF(Vertices[Degree], "&gt;=" &amp; E44)</f>
        <v>0</v>
      </c>
      <c r="G43" s="46">
        <f t="shared" si="2"/>
        <v>0</v>
      </c>
      <c r="H43" s="47">
        <f>COUNTIF(Vertices[In-Degree], "&gt;= " &amp; G43) - COUNTIF(Vertices[In-Degree], "&gt;=" &amp; G44)</f>
        <v>0</v>
      </c>
      <c r="I43" s="46">
        <f t="shared" si="3"/>
        <v>0</v>
      </c>
      <c r="J43" s="47">
        <f>COUNTIF(Vertices[Out-Degree], "&gt;= " &amp; I43) - COUNTIF(Vertices[Out-Degree], "&gt;=" &amp; I44)</f>
        <v>0</v>
      </c>
      <c r="K43" s="46">
        <f t="shared" si="4"/>
        <v>0</v>
      </c>
      <c r="L43" s="47">
        <f>COUNTIF(Vertices[Betweenness Centrality], "&gt;= " &amp; K43) - COUNTIF(Vertices[Betweenness Centrality], "&gt;=" &amp; K44)</f>
        <v>0</v>
      </c>
      <c r="M43" s="46">
        <f t="shared" si="5"/>
        <v>0</v>
      </c>
      <c r="N43" s="47">
        <f>COUNTIF(Vertices[Closeness Centrality], "&gt;= " &amp; M43) - COUNTIF(Vertices[Closeness Centrality], "&gt;=" &amp; M44)</f>
        <v>0</v>
      </c>
      <c r="O43" s="46">
        <f t="shared" si="6"/>
        <v>0</v>
      </c>
      <c r="P43" s="47">
        <f>COUNTIF(Vertices[Eigenvector Centrality], "&gt;= " &amp; O43) - COUNTIF(Vertices[Eigenvector Centrality], "&gt;=" &amp; O44)</f>
        <v>0</v>
      </c>
      <c r="Q43" s="46">
        <f t="shared" si="7"/>
        <v>0</v>
      </c>
      <c r="R43" s="47">
        <f>COUNTIF(Vertices[PageRank], "&gt;= " &amp; Q43) - COUNTIF(Vertices[PageRank], "&gt;=" &amp; Q44)</f>
        <v>0</v>
      </c>
      <c r="S43" s="46">
        <f t="shared" si="8"/>
        <v>0</v>
      </c>
      <c r="T43" s="51">
        <f>COUNTIF(Vertices[Clustering Coefficient], "&gt;= " &amp; S43) - COUNTIF(Vertices[Clustering Coefficient], "&gt;=" &amp; S44)</f>
        <v>0</v>
      </c>
      <c r="U43" s="46" t="e">
        <f t="shared" ca="1" si="9"/>
        <v>#REF!</v>
      </c>
      <c r="V43" s="47" t="e">
        <f t="shared" ca="1" si="0"/>
        <v>#REF!</v>
      </c>
    </row>
    <row r="44" spans="1:22">
      <c r="E44" s="39">
        <f t="shared" si="1"/>
        <v>0</v>
      </c>
      <c r="F44" s="3">
        <f>COUNTIF(Vertices[Degree], "&gt;= " &amp; E44) - COUNTIF(Vertices[Degree], "&gt;=" &amp; E45)</f>
        <v>0</v>
      </c>
      <c r="G44" s="44">
        <f t="shared" si="2"/>
        <v>0</v>
      </c>
      <c r="H44" s="45">
        <f>COUNTIF(Vertices[In-Degree], "&gt;= " &amp; G44) - COUNTIF(Vertices[In-Degree], "&gt;=" &amp; G45)</f>
        <v>0</v>
      </c>
      <c r="I44" s="44">
        <f t="shared" si="3"/>
        <v>0</v>
      </c>
      <c r="J44" s="45">
        <f>COUNTIF(Vertices[Out-Degree], "&gt;= " &amp; I44) - COUNTIF(Vertices[Out-Degree], "&gt;=" &amp; I45)</f>
        <v>0</v>
      </c>
      <c r="K44" s="44">
        <f t="shared" si="4"/>
        <v>0</v>
      </c>
      <c r="L44" s="45">
        <f>COUNTIF(Vertices[Betweenness Centrality], "&gt;= " &amp; K44) - COUNTIF(Vertices[Betweenness Centrality], "&gt;=" &amp; K45)</f>
        <v>0</v>
      </c>
      <c r="M44" s="44">
        <f t="shared" si="5"/>
        <v>0</v>
      </c>
      <c r="N44" s="45">
        <f>COUNTIF(Vertices[Closeness Centrality], "&gt;= " &amp; M44) - COUNTIF(Vertices[Closeness Centrality], "&gt;=" &amp; M45)</f>
        <v>0</v>
      </c>
      <c r="O44" s="44">
        <f t="shared" si="6"/>
        <v>0</v>
      </c>
      <c r="P44" s="45">
        <f>COUNTIF(Vertices[Eigenvector Centrality], "&gt;= " &amp; O44) - COUNTIF(Vertices[Eigenvector Centrality], "&gt;=" &amp; O45)</f>
        <v>0</v>
      </c>
      <c r="Q44" s="44">
        <f t="shared" si="7"/>
        <v>0</v>
      </c>
      <c r="R44" s="45">
        <f>COUNTIF(Vertices[PageRank], "&gt;= " &amp; Q44) - COUNTIF(Vertices[PageRank], "&gt;=" &amp; Q45)</f>
        <v>0</v>
      </c>
      <c r="S44" s="44">
        <f t="shared" si="8"/>
        <v>0</v>
      </c>
      <c r="T44" s="50">
        <f>COUNTIF(Vertices[Clustering Coefficient], "&gt;= " &amp; S44) - COUNTIF(Vertices[Clustering Coefficient], "&gt;=" &amp; S45)</f>
        <v>0</v>
      </c>
      <c r="U44" s="44" t="e">
        <f t="shared" ca="1" si="9"/>
        <v>#REF!</v>
      </c>
      <c r="V44" s="45" t="e">
        <f t="shared" ca="1" si="0"/>
        <v>#REF!</v>
      </c>
    </row>
    <row r="45" spans="1:22">
      <c r="E45" s="39">
        <f>MAX(Vertices[Degree])</f>
        <v>0</v>
      </c>
      <c r="F45" s="3">
        <f>COUNTIF(Vertices[Degree], "&gt;= " &amp; E45) - COUNTIF(Vertices[Degree], "&gt;=" &amp; E46)</f>
        <v>0</v>
      </c>
      <c r="G45" s="48">
        <f>MAX(Vertices[In-Degree])</f>
        <v>0</v>
      </c>
      <c r="H45" s="49">
        <f>COUNTIF(Vertices[In-Degree], "&gt;= " &amp; G45) - COUNTIF(Vertices[In-Degree], "&gt;=" &amp; G46)</f>
        <v>0</v>
      </c>
      <c r="I45" s="48">
        <f>MAX(Vertices[Out-Degree])</f>
        <v>0</v>
      </c>
      <c r="J45" s="49">
        <f>COUNTIF(Vertices[Out-Degree], "&gt;= " &amp; I45) - COUNTIF(Vertices[Out-Degree], "&gt;=" &amp; I46)</f>
        <v>0</v>
      </c>
      <c r="K45" s="48">
        <f>MAX(Vertices[Betweenness Centrality])</f>
        <v>0</v>
      </c>
      <c r="L45" s="49">
        <f>COUNTIF(Vertices[Betweenness Centrality], "&gt;= " &amp; K45) - COUNTIF(Vertices[Betweenness Centrality], "&gt;=" &amp; K46)</f>
        <v>0</v>
      </c>
      <c r="M45" s="48">
        <f>MAX(Vertices[Closeness Centrality])</f>
        <v>0</v>
      </c>
      <c r="N45" s="49">
        <f>COUNTIF(Vertices[Closeness Centrality], "&gt;= " &amp; M45) - COUNTIF(Vertices[Closeness Centrality], "&gt;=" &amp; M46)</f>
        <v>0</v>
      </c>
      <c r="O45" s="48">
        <f>MAX(Vertices[Eigenvector Centrality])</f>
        <v>0</v>
      </c>
      <c r="P45" s="49">
        <f>COUNTIF(Vertices[Eigenvector Centrality], "&gt;= " &amp; O45) - COUNTIF(Vertices[Eigenvector Centrality], "&gt;=" &amp; O46)</f>
        <v>0</v>
      </c>
      <c r="Q45" s="48">
        <f>MAX(Vertices[PageRank])</f>
        <v>0</v>
      </c>
      <c r="R45" s="49">
        <f>COUNTIF(Vertices[PageRank], "&gt;= " &amp; Q45) - COUNTIF(Vertices[PageRank], "&gt;=" &amp; Q46)</f>
        <v>0</v>
      </c>
      <c r="S45" s="48">
        <f>MAX(Vertices[Clustering Coefficient])</f>
        <v>0</v>
      </c>
      <c r="T45" s="52">
        <f>COUNTIF(Vertices[Clustering Coefficient], "&gt;= " &amp; S45) - COUNTIF(Vertices[Clustering Coefficient], "&gt;=" &amp; S46)</f>
        <v>0</v>
      </c>
      <c r="U45" s="48" t="e">
        <f ca="1">MAX(INDIRECT(DynamicFilterSourceColumnRange))</f>
        <v>#REF!</v>
      </c>
      <c r="V45" s="49" t="e">
        <f t="shared" ca="1" si="0"/>
        <v>#REF!</v>
      </c>
    </row>
    <row r="47" spans="1:22">
      <c r="A47" s="40" t="s">
        <v>103</v>
      </c>
      <c r="B47" s="53" t="str">
        <f>IF(COUNT(Vertices[In-Degree])&gt;0, G2, NoMetricMessage)</f>
        <v>Not Available</v>
      </c>
    </row>
    <row r="48" spans="1:22">
      <c r="A48" s="40" t="s">
        <v>104</v>
      </c>
      <c r="B48" s="53" t="str">
        <f>IF(COUNT(Vertices[In-Degree])&gt;0, G45, NoMetricMessage)</f>
        <v>Not Available</v>
      </c>
    </row>
    <row r="49" spans="1:2">
      <c r="A49" s="40" t="s">
        <v>105</v>
      </c>
      <c r="B49" s="54" t="str">
        <f>IFERROR(AVERAGE(Vertices[In-Degree]),NoMetricMessage)</f>
        <v>Not Available</v>
      </c>
    </row>
    <row r="50" spans="1:2">
      <c r="A50" s="40" t="s">
        <v>106</v>
      </c>
      <c r="B50" s="54" t="str">
        <f>IFERROR(MEDIAN(Vertices[In-Degree]),NoMetricMessage)</f>
        <v>Not Available</v>
      </c>
    </row>
    <row r="61" spans="1:2">
      <c r="A61" s="40" t="s">
        <v>109</v>
      </c>
      <c r="B61" s="53" t="str">
        <f>IF(COUNT(Vertices[Out-Degree])&gt;0, I2, NoMetricMessage)</f>
        <v>Not Available</v>
      </c>
    </row>
    <row r="62" spans="1:2">
      <c r="A62" s="40" t="s">
        <v>110</v>
      </c>
      <c r="B62" s="53" t="str">
        <f>IF(COUNT(Vertices[Out-Degree])&gt;0, I45, NoMetricMessage)</f>
        <v>Not Available</v>
      </c>
    </row>
    <row r="63" spans="1:2">
      <c r="A63" s="40" t="s">
        <v>111</v>
      </c>
      <c r="B63" s="54" t="str">
        <f>IFERROR(AVERAGE(Vertices[Out-Degree]),NoMetricMessage)</f>
        <v>Not Available</v>
      </c>
    </row>
    <row r="64" spans="1:2">
      <c r="A64" s="40" t="s">
        <v>112</v>
      </c>
      <c r="B64" s="54" t="str">
        <f>IFERROR(MEDIAN(Vertices[Out-Degree]),NoMetricMessage)</f>
        <v>Not Available</v>
      </c>
    </row>
    <row r="75" spans="1:2">
      <c r="A75" s="40" t="s">
        <v>115</v>
      </c>
      <c r="B75" s="54" t="str">
        <f>IF(COUNT(Vertices[Betweenness Centrality])&gt;0, K2, NoMetricMessage)</f>
        <v>Not Available</v>
      </c>
    </row>
    <row r="76" spans="1:2">
      <c r="A76" s="40" t="s">
        <v>116</v>
      </c>
      <c r="B76" s="54" t="str">
        <f>IF(COUNT(Vertices[Betweenness Centrality])&gt;0, K45, NoMetricMessage)</f>
        <v>Not Available</v>
      </c>
    </row>
    <row r="77" spans="1:2">
      <c r="A77" s="40" t="s">
        <v>117</v>
      </c>
      <c r="B77" s="54" t="str">
        <f>IFERROR(AVERAGE(Vertices[Betweenness Centrality]),NoMetricMessage)</f>
        <v>Not Available</v>
      </c>
    </row>
    <row r="78" spans="1:2">
      <c r="A78" s="40" t="s">
        <v>118</v>
      </c>
      <c r="B78" s="54" t="str">
        <f>IFERROR(MEDIAN(Vertices[Betweenness Centrality]),NoMetricMessage)</f>
        <v>Not Available</v>
      </c>
    </row>
    <row r="89" spans="1:2">
      <c r="A89" s="40" t="s">
        <v>121</v>
      </c>
      <c r="B89" s="54" t="str">
        <f>IF(COUNT(Vertices[Closeness Centrality])&gt;0, M2, NoMetricMessage)</f>
        <v>Not Available</v>
      </c>
    </row>
    <row r="90" spans="1:2">
      <c r="A90" s="40" t="s">
        <v>122</v>
      </c>
      <c r="B90" s="54" t="str">
        <f>IF(COUNT(Vertices[Closeness Centrality])&gt;0, M45, NoMetricMessage)</f>
        <v>Not Available</v>
      </c>
    </row>
    <row r="91" spans="1:2">
      <c r="A91" s="40" t="s">
        <v>123</v>
      </c>
      <c r="B91" s="54" t="str">
        <f>IFERROR(AVERAGE(Vertices[Closeness Centrality]),NoMetricMessage)</f>
        <v>Not Available</v>
      </c>
    </row>
    <row r="92" spans="1:2">
      <c r="A92" s="40" t="s">
        <v>124</v>
      </c>
      <c r="B92" s="54" t="str">
        <f>IFERROR(MEDIAN(Vertices[Closeness Centrality]),NoMetricMessage)</f>
        <v>Not Available</v>
      </c>
    </row>
    <row r="103" spans="1:2">
      <c r="A103" s="40" t="s">
        <v>127</v>
      </c>
      <c r="B103" s="54" t="str">
        <f>IF(COUNT(Vertices[Eigenvector Centrality])&gt;0, O2, NoMetricMessage)</f>
        <v>Not Available</v>
      </c>
    </row>
    <row r="104" spans="1:2">
      <c r="A104" s="40" t="s">
        <v>128</v>
      </c>
      <c r="B104" s="54" t="str">
        <f>IF(COUNT(Vertices[Eigenvector Centrality])&gt;0, O45, NoMetricMessage)</f>
        <v>Not Available</v>
      </c>
    </row>
    <row r="105" spans="1:2">
      <c r="A105" s="40" t="s">
        <v>129</v>
      </c>
      <c r="B105" s="54" t="str">
        <f>IFERROR(AVERAGE(Vertices[Eigenvector Centrality]),NoMetricMessage)</f>
        <v>Not Available</v>
      </c>
    </row>
    <row r="106" spans="1:2">
      <c r="A106" s="40" t="s">
        <v>130</v>
      </c>
      <c r="B106" s="54" t="str">
        <f>IFERROR(MEDIAN(Vertices[Eigenvector Centrality]),NoMetricMessage)</f>
        <v>Not Available</v>
      </c>
    </row>
    <row r="117" spans="1:2">
      <c r="A117" s="40" t="s">
        <v>155</v>
      </c>
      <c r="B117" s="54" t="str">
        <f>IF(COUNT(Vertices[PageRank])&gt;0, Q2, NoMetricMessage)</f>
        <v>Not Available</v>
      </c>
    </row>
    <row r="118" spans="1:2">
      <c r="A118" s="40" t="s">
        <v>156</v>
      </c>
      <c r="B118" s="54" t="str">
        <f>IF(COUNT(Vertices[PageRank])&gt;0, Q45, NoMetricMessage)</f>
        <v>Not Available</v>
      </c>
    </row>
    <row r="119" spans="1:2">
      <c r="A119" s="40" t="s">
        <v>157</v>
      </c>
      <c r="B119" s="54" t="str">
        <f>IFERROR(AVERAGE(Vertices[PageRank]),NoMetricMessage)</f>
        <v>Not Available</v>
      </c>
    </row>
    <row r="120" spans="1:2">
      <c r="A120" s="40" t="s">
        <v>158</v>
      </c>
      <c r="B120" s="54" t="str">
        <f>IFERROR(MEDIAN(Vertices[PageRank]),NoMetricMessage)</f>
        <v>Not Available</v>
      </c>
    </row>
    <row r="131" spans="1:2">
      <c r="A131" s="40" t="s">
        <v>133</v>
      </c>
      <c r="B131" s="54" t="str">
        <f>IF(COUNT(Vertices[Clustering Coefficient])&gt;0, S2, NoMetricMessage)</f>
        <v>Not Available</v>
      </c>
    </row>
    <row r="132" spans="1:2">
      <c r="A132" s="40" t="s">
        <v>134</v>
      </c>
      <c r="B132" s="54" t="str">
        <f>IF(COUNT(Vertices[Clustering Coefficient])&gt;0, S45, NoMetricMessage)</f>
        <v>Not Available</v>
      </c>
    </row>
    <row r="133" spans="1:2">
      <c r="A133" s="40" t="s">
        <v>135</v>
      </c>
      <c r="B133" s="54" t="str">
        <f>IFERROR(AVERAGE(Vertices[Clustering Coefficient]),NoMetricMessage)</f>
        <v>Not Available</v>
      </c>
    </row>
    <row r="134" spans="1:2">
      <c r="A134" s="40" t="s">
        <v>136</v>
      </c>
      <c r="B134" s="54"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7.xml><?xml version="1.0" encoding="utf-8"?>
<worksheet xmlns="http://schemas.openxmlformats.org/spreadsheetml/2006/main" xmlns:r="http://schemas.openxmlformats.org/officeDocument/2006/relationships">
  <sheetPr codeName="Sheet4"/>
  <dimension ref="A1:P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5" width="14.28515625" bestFit="1" customWidth="1"/>
    <col min="6" max="6" width="14.28515625"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6" s="4" customFormat="1" ht="36" customHeight="1">
      <c r="A1" s="5" t="s">
        <v>6</v>
      </c>
      <c r="B1" s="5" t="s">
        <v>146</v>
      </c>
      <c r="C1" s="4" t="s">
        <v>7</v>
      </c>
      <c r="D1" s="4" t="s">
        <v>9</v>
      </c>
      <c r="E1" s="4" t="s">
        <v>14</v>
      </c>
      <c r="F1" s="4" t="s">
        <v>77</v>
      </c>
      <c r="H1" s="4" t="s">
        <v>19</v>
      </c>
      <c r="I1" s="4" t="s">
        <v>18</v>
      </c>
      <c r="K1" s="4" t="s">
        <v>23</v>
      </c>
      <c r="L1" s="4" t="s">
        <v>24</v>
      </c>
      <c r="M1" s="4" t="s">
        <v>25</v>
      </c>
      <c r="N1" s="4" t="s">
        <v>26</v>
      </c>
    </row>
    <row r="2" spans="1:16">
      <c r="A2" s="1" t="s">
        <v>61</v>
      </c>
      <c r="B2" s="1" t="s">
        <v>147</v>
      </c>
      <c r="C2" t="s">
        <v>64</v>
      </c>
      <c r="D2" t="s">
        <v>65</v>
      </c>
      <c r="E2" t="s">
        <v>75</v>
      </c>
      <c r="F2" t="s">
        <v>78</v>
      </c>
      <c r="H2" t="s">
        <v>20</v>
      </c>
      <c r="I2">
        <v>87</v>
      </c>
    </row>
    <row r="3" spans="1:16">
      <c r="A3" s="1" t="s">
        <v>62</v>
      </c>
      <c r="B3" s="1" t="s">
        <v>148</v>
      </c>
      <c r="C3" t="s">
        <v>62</v>
      </c>
      <c r="D3" t="s">
        <v>66</v>
      </c>
      <c r="E3" t="s">
        <v>76</v>
      </c>
      <c r="F3" t="s">
        <v>79</v>
      </c>
      <c r="H3" s="12" t="s">
        <v>31</v>
      </c>
      <c r="I3" s="13">
        <v>0</v>
      </c>
    </row>
    <row r="4" spans="1:16">
      <c r="A4" s="1" t="s">
        <v>63</v>
      </c>
      <c r="B4" s="1" t="s">
        <v>149</v>
      </c>
      <c r="C4" t="s">
        <v>63</v>
      </c>
      <c r="D4" t="s">
        <v>67</v>
      </c>
      <c r="E4">
        <v>0</v>
      </c>
      <c r="F4" t="s">
        <v>80</v>
      </c>
      <c r="H4" t="s">
        <v>32</v>
      </c>
      <c r="I4" t="s">
        <v>33</v>
      </c>
    </row>
    <row r="5" spans="1:16">
      <c r="A5">
        <v>1</v>
      </c>
      <c r="B5" s="1" t="s">
        <v>150</v>
      </c>
      <c r="C5" t="s">
        <v>61</v>
      </c>
      <c r="D5" t="s">
        <v>68</v>
      </c>
      <c r="E5">
        <v>1</v>
      </c>
      <c r="F5" t="s">
        <v>81</v>
      </c>
      <c r="H5" s="12" t="s">
        <v>43</v>
      </c>
      <c r="I5" s="12" t="b">
        <v>1</v>
      </c>
    </row>
    <row r="6" spans="1:16">
      <c r="A6">
        <v>0</v>
      </c>
      <c r="B6" s="1" t="s">
        <v>151</v>
      </c>
      <c r="C6">
        <v>1</v>
      </c>
      <c r="D6" t="s">
        <v>69</v>
      </c>
      <c r="F6" t="s">
        <v>82</v>
      </c>
      <c r="H6" s="12" t="s">
        <v>88</v>
      </c>
      <c r="I6" s="12" t="b">
        <v>1</v>
      </c>
      <c r="P6" t="s">
        <v>144</v>
      </c>
    </row>
    <row r="7" spans="1:16">
      <c r="A7">
        <v>2</v>
      </c>
      <c r="B7">
        <v>1</v>
      </c>
      <c r="C7">
        <v>0</v>
      </c>
      <c r="D7" t="s">
        <v>70</v>
      </c>
      <c r="F7" t="s">
        <v>83</v>
      </c>
      <c r="H7" s="12" t="s">
        <v>48</v>
      </c>
      <c r="I7" s="12" t="b">
        <v>1</v>
      </c>
    </row>
    <row r="8" spans="1:16">
      <c r="A8"/>
      <c r="B8">
        <v>2</v>
      </c>
      <c r="C8">
        <v>2</v>
      </c>
      <c r="D8" t="s">
        <v>71</v>
      </c>
      <c r="F8" t="s">
        <v>84</v>
      </c>
      <c r="H8" s="12" t="s">
        <v>41</v>
      </c>
      <c r="I8" s="12" t="b">
        <v>0</v>
      </c>
    </row>
    <row r="9" spans="1:16">
      <c r="A9"/>
      <c r="B9">
        <v>3</v>
      </c>
      <c r="C9">
        <v>4</v>
      </c>
      <c r="D9" t="s">
        <v>72</v>
      </c>
      <c r="F9" t="s">
        <v>85</v>
      </c>
      <c r="H9" s="12" t="s">
        <v>42</v>
      </c>
      <c r="I9" s="12" t="b">
        <v>1</v>
      </c>
    </row>
    <row r="10" spans="1:16">
      <c r="A10"/>
      <c r="B10">
        <v>4</v>
      </c>
      <c r="D10" t="s">
        <v>73</v>
      </c>
      <c r="F10" t="s">
        <v>86</v>
      </c>
      <c r="H10" s="12" t="s">
        <v>44</v>
      </c>
      <c r="I10" s="12" t="b">
        <v>1</v>
      </c>
    </row>
    <row r="11" spans="1:16">
      <c r="A11"/>
      <c r="B11">
        <v>5</v>
      </c>
      <c r="D11" t="s">
        <v>56</v>
      </c>
      <c r="F11">
        <v>1</v>
      </c>
      <c r="H11" s="12" t="s">
        <v>45</v>
      </c>
      <c r="I11" s="12" t="b">
        <v>0</v>
      </c>
    </row>
    <row r="12" spans="1:16">
      <c r="A12"/>
      <c r="B12"/>
      <c r="D12" t="s">
        <v>74</v>
      </c>
      <c r="F12">
        <v>2</v>
      </c>
      <c r="H12" s="12" t="s">
        <v>47</v>
      </c>
      <c r="I12" s="12" t="b">
        <v>1</v>
      </c>
    </row>
    <row r="13" spans="1:16">
      <c r="A13"/>
      <c r="B13"/>
      <c r="D13">
        <v>1</v>
      </c>
      <c r="F13">
        <v>3</v>
      </c>
      <c r="H13" s="12" t="s">
        <v>163</v>
      </c>
      <c r="I13" s="12" t="b">
        <v>1</v>
      </c>
    </row>
    <row r="14" spans="1:16">
      <c r="D14">
        <v>2</v>
      </c>
      <c r="F14">
        <v>4</v>
      </c>
      <c r="H14" s="12" t="s">
        <v>164</v>
      </c>
      <c r="I14" s="12" t="b">
        <v>1</v>
      </c>
    </row>
    <row r="15" spans="1:16">
      <c r="D15">
        <v>3</v>
      </c>
      <c r="F15">
        <v>5</v>
      </c>
      <c r="H15" s="12" t="s">
        <v>176</v>
      </c>
      <c r="I15" s="12" t="b">
        <v>0</v>
      </c>
    </row>
    <row r="16" spans="1:16">
      <c r="D16">
        <v>4</v>
      </c>
      <c r="F16">
        <v>6</v>
      </c>
      <c r="H16" s="12" t="s">
        <v>89</v>
      </c>
      <c r="I16" s="12"/>
    </row>
    <row r="17" spans="4:9">
      <c r="D17">
        <v>5</v>
      </c>
      <c r="F17">
        <v>7</v>
      </c>
      <c r="H17" s="12" t="s">
        <v>90</v>
      </c>
      <c r="I17" s="12"/>
    </row>
    <row r="18" spans="4:9">
      <c r="D18">
        <v>6</v>
      </c>
      <c r="F18">
        <v>8</v>
      </c>
      <c r="H18" s="12" t="s">
        <v>91</v>
      </c>
      <c r="I18" s="12"/>
    </row>
    <row r="19" spans="4:9">
      <c r="D19">
        <v>7</v>
      </c>
      <c r="F19">
        <v>9</v>
      </c>
    </row>
    <row r="20" spans="4:9">
      <c r="D20">
        <v>8</v>
      </c>
    </row>
    <row r="21" spans="4:9">
      <c r="D21">
        <v>9</v>
      </c>
    </row>
    <row r="22" spans="4:9">
      <c r="D22">
        <v>10</v>
      </c>
    </row>
    <row r="23" spans="4:9">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cp:lastModifiedBy>
  <dcterms:created xsi:type="dcterms:W3CDTF">2008-01-30T00:41:58Z</dcterms:created>
  <dcterms:modified xsi:type="dcterms:W3CDTF">2010-10-05T16:36:28Z</dcterms:modified>
</cp:coreProperties>
</file>