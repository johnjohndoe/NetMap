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tables/table3.xml" ContentType="application/vnd.openxmlformats-officedocument.spreadsheetml.table+xml"/>
  <Override PartName="/xl/tables/table4.xml" ContentType="application/vnd.openxmlformats-officedocument.spreadsheetml.table+xml"/>
  <Override PartName="/xl/charts/chart6.xml" ContentType="application/vnd.openxmlformats-officedocument.drawingml.chart+xml"/>
  <Override PartName="/xl/charts/chart7.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customXml/itemProps1.xml" ContentType="application/vnd.openxmlformats-officedocument.customXmlProperties+xml"/>
  <Override PartName="/xl/worksheets/sheet6.xml" ContentType="application/vnd.openxmlformats-officedocument.spreadsheetml.worksheet+xml"/>
  <Override PartName="/xl/worksheets/sheet7.xml" ContentType="application/vnd.openxmlformats-officedocument.spreadsheetml.worksheet+xml"/>
  <Override PartName="/xl/charts/chart2.xml" ContentType="application/vnd.openxmlformats-officedocument.drawingml.chart+xml"/>
  <Override PartName="/xl/charts/chart3.xml" ContentType="application/vnd.openxmlformats-officedocument.drawingml.chart+xml"/>
  <Override PartName="/xl/workbook.xml" ContentType="application/vnd.openxmlformats-officedocument.spreadsheetml.template.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xl/comments5.xml" ContentType="application/vnd.openxmlformats-officedocument.spreadsheetml.comments+xml"/>
  <Override PartName="/xl/charts/chart1.xml" ContentType="application/vnd.openxmlformats-officedocument.drawingml.chart+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Override PartName="/xl/comments1.xml" ContentType="application/vnd.openxmlformats-officedocument.spreadsheetml.comments+xml"/>
  <Override PartName="/xl/tables/table9.xml" ContentType="application/vnd.openxmlformats-officedocument.spreadsheetml.table+xml"/>
  <Override PartName="/xl/calcChain.xml" ContentType="application/vnd.openxmlformats-officedocument.spreadsheetml.calcChain+xml"/>
  <Override PartName="/xl/sharedStrings.xml" ContentType="application/vnd.openxmlformats-officedocument.spreadsheetml.sharedStrings+xml"/>
  <Override PartName="/xl/tables/table7.xml" ContentType="application/vnd.openxmlformats-officedocument.spreadsheetml.table+xml"/>
  <Override PartName="/xl/tables/table8.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harts/chart8.xml" ContentType="application/vnd.openxmlformats-officedocument.drawingml.chart+xml"/>
  <Override PartName="/xl/charts/chart9.xml" ContentType="application/vnd.openxmlformats-officedocument.drawingml.chart+xml"/>
  <Override PartName="/docProps/core.xml" ContentType="application/vnd.openxmlformats-package.core-properties+xml"/>
  <Override PartName="/docProps/custom.xml" ContentType="application/vnd.openxmlformats-officedocument.custom-properties+xml"/>
</Types>
</file>

<file path=_rels/.rels>&#65279;<?xml version="1.0" encoding="utf-8"?><Relationships xmlns="http://schemas.openxmlformats.org/package/2006/relationships"><Relationship Type="http://schemas.openxmlformats.org/officeDocument/2006/relationships/extended-properties" Target="docProps/app.xml" Id="rId3" /><Relationship Type="http://schemas.openxmlformats.org/package/2006/relationships/metadata/core-properties" Target="docProps/core.xml" Id="rId2" /><Relationship Type="http://schemas.openxmlformats.org/officeDocument/2006/relationships/officeDocument" Target="xl/workbook.xml" Id="rId1" /><Relationship Type="http://schemas.openxmlformats.org/officeDocument/2006/relationships/custom-properties" Target="docProps/custom.xml" Id="Rd44b3eae29894557" /></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90" yWindow="4050" windowWidth="21585" windowHeight="7740"/>
  </bookViews>
  <sheets>
    <sheet name="Edges" sheetId="1" r:id="rId1"/>
    <sheet name="Vertices" sheetId="3" r:id="rId2"/>
    <sheet name="Do Not Delete" sheetId="4" state="hidden" r:id="rId3"/>
    <sheet name="Clusters" sheetId="5" r:id="rId4"/>
    <sheet name="Cluster Vertices" sheetId="6" r:id="rId5"/>
    <sheet name="Overall Metrics" sheetId="7" r:id="rId6"/>
    <sheet name="Misc" sheetId="2" state="hidden" r:id="rId7"/>
  </sheets>
  <definedNames>
    <definedName name="BinDivisor">'Overall Metrics'!$Y$2</definedName>
    <definedName name="DynamicFilterColumnName">'Overall Metrics'!#REF!</definedName>
    <definedName name="DynamicFilterForceCalculationRange">HistogramBins[[Dynamic Filter Bin]:[Dynamic Filter Frequency]]</definedName>
    <definedName name="DynamicFilterSourceColumnRange">'Overall Metrics'!$Y$4</definedName>
    <definedName name="DynamicFilterTableName">'Overall Metrics'!#REF!</definedName>
    <definedName name="NoMetricMessage">'Overall Metrics'!$Y$3</definedName>
    <definedName name="NotAvailable">'Overall Metrics'!$Y$2</definedName>
    <definedName name="ValidBooleansDefaultFalse">Misc!$E$2:$E$5</definedName>
    <definedName name="ValidEdgeStyles">Misc!$B$2:$B$11</definedName>
    <definedName name="ValidEdgeVisibilities">Misc!$A$2:$A$7</definedName>
    <definedName name="ValidVertexLabelPositions">Misc!$F$2:$F$19</definedName>
    <definedName name="ValidVertexShapes">Misc!$D$2:$D$23</definedName>
    <definedName name="ValidVertexVisibilities">Misc!$C$2:$C$9</definedName>
  </definedNames>
  <calcPr calcId="125725"/>
</workbook>
</file>

<file path=xl/calcChain.xml><?xml version="1.0" encoding="utf-8"?>
<calcChain xmlns="http://schemas.openxmlformats.org/spreadsheetml/2006/main">
  <c r="Q3" i="7"/>
  <c r="Q4" s="1"/>
  <c r="Q5" s="1"/>
  <c r="Q6" s="1"/>
  <c r="Q7" s="1"/>
  <c r="Q8" s="1"/>
  <c r="Q9" s="1"/>
  <c r="Q10" s="1"/>
  <c r="Q11" s="1"/>
  <c r="Q12" s="1"/>
  <c r="Q13" s="1"/>
  <c r="Q14" s="1"/>
  <c r="Q15" s="1"/>
  <c r="Q16" s="1"/>
  <c r="Q17" s="1"/>
  <c r="Q18" s="1"/>
  <c r="Q19" s="1"/>
  <c r="Q20" s="1"/>
  <c r="Q21" s="1"/>
  <c r="Q22" s="1"/>
  <c r="Q23" s="1"/>
  <c r="Q24" s="1"/>
  <c r="Q25" s="1"/>
  <c r="Q26" s="1"/>
  <c r="Q27" s="1"/>
  <c r="Q28" s="1"/>
  <c r="Q29" s="1"/>
  <c r="Q30" s="1"/>
  <c r="Q31" s="1"/>
  <c r="Q32" s="1"/>
  <c r="Q33" s="1"/>
  <c r="Q34" s="1"/>
  <c r="Q35" s="1"/>
  <c r="Q36" s="1"/>
  <c r="Q37" s="1"/>
  <c r="Q38" s="1"/>
  <c r="Q39" s="1"/>
  <c r="Q40" s="1"/>
  <c r="Q41" s="1"/>
  <c r="Q42" s="1"/>
  <c r="Q43" s="1"/>
  <c r="Q44" s="1"/>
  <c r="B118"/>
  <c r="B117"/>
  <c r="B120"/>
  <c r="B119"/>
  <c r="Q45"/>
  <c r="R45" s="1"/>
  <c r="Q2"/>
  <c r="B132"/>
  <c r="B131"/>
  <c r="B134"/>
  <c r="B133"/>
  <c r="S45"/>
  <c r="T45" s="1"/>
  <c r="S2"/>
  <c r="B104"/>
  <c r="B103"/>
  <c r="B106"/>
  <c r="B105"/>
  <c r="O45"/>
  <c r="P45" s="1"/>
  <c r="O2"/>
  <c r="B90"/>
  <c r="B89"/>
  <c r="B76"/>
  <c r="B75"/>
  <c r="B92"/>
  <c r="B91"/>
  <c r="M45"/>
  <c r="N45" s="1"/>
  <c r="M2"/>
  <c r="B62"/>
  <c r="B61"/>
  <c r="B48"/>
  <c r="B47"/>
  <c r="B78"/>
  <c r="B77"/>
  <c r="K45"/>
  <c r="L45" s="1"/>
  <c r="K2"/>
  <c r="B64"/>
  <c r="B63"/>
  <c r="I45"/>
  <c r="J45" s="1"/>
  <c r="I2"/>
  <c r="B50"/>
  <c r="B49"/>
  <c r="G45"/>
  <c r="H45" s="1"/>
  <c r="G2"/>
  <c r="B34"/>
  <c r="B33"/>
  <c r="B36"/>
  <c r="B35"/>
  <c r="U45"/>
  <c r="U2"/>
  <c r="R3" l="1"/>
  <c r="R2"/>
  <c r="Y2"/>
  <c r="E45"/>
  <c r="F45" s="1"/>
  <c r="E2"/>
  <c r="V45"/>
  <c r="S3" l="1"/>
  <c r="S4" s="1"/>
  <c r="T3" s="1"/>
  <c r="U3"/>
  <c r="M3"/>
  <c r="N2" s="1"/>
  <c r="O3"/>
  <c r="I3"/>
  <c r="K3"/>
  <c r="E3"/>
  <c r="E4" s="1"/>
  <c r="F3" s="1"/>
  <c r="G3"/>
  <c r="V2"/>
  <c r="R5" l="1"/>
  <c r="R4"/>
  <c r="T2"/>
  <c r="U4"/>
  <c r="S5"/>
  <c r="T4" s="1"/>
  <c r="O4"/>
  <c r="P2"/>
  <c r="M4"/>
  <c r="M5" s="1"/>
  <c r="M6" s="1"/>
  <c r="M7" s="1"/>
  <c r="M8" s="1"/>
  <c r="M9" s="1"/>
  <c r="M10" s="1"/>
  <c r="M11" s="1"/>
  <c r="M12" s="1"/>
  <c r="M13" s="1"/>
  <c r="M14" s="1"/>
  <c r="M15" s="1"/>
  <c r="M16" s="1"/>
  <c r="M17" s="1"/>
  <c r="M18" s="1"/>
  <c r="M19" s="1"/>
  <c r="M20" s="1"/>
  <c r="M21" s="1"/>
  <c r="M22" s="1"/>
  <c r="M23" s="1"/>
  <c r="M24" s="1"/>
  <c r="M25" s="1"/>
  <c r="M26" s="1"/>
  <c r="M27" s="1"/>
  <c r="M28" s="1"/>
  <c r="M29" s="1"/>
  <c r="M30" s="1"/>
  <c r="M31" s="1"/>
  <c r="M32" s="1"/>
  <c r="M33" s="1"/>
  <c r="M34" s="1"/>
  <c r="M35" s="1"/>
  <c r="M36" s="1"/>
  <c r="M37" s="1"/>
  <c r="M38" s="1"/>
  <c r="M39" s="1"/>
  <c r="M40" s="1"/>
  <c r="M41" s="1"/>
  <c r="M42" s="1"/>
  <c r="M43" s="1"/>
  <c r="M44" s="1"/>
  <c r="J2"/>
  <c r="K4"/>
  <c r="L2"/>
  <c r="I4"/>
  <c r="I5" s="1"/>
  <c r="F2"/>
  <c r="G4"/>
  <c r="H2"/>
  <c r="E5"/>
  <c r="F4" s="1"/>
  <c r="V3"/>
  <c r="R6" l="1"/>
  <c r="U5"/>
  <c r="N3"/>
  <c r="S6"/>
  <c r="T5" s="1"/>
  <c r="J3"/>
  <c r="O5"/>
  <c r="P3"/>
  <c r="N4"/>
  <c r="N5"/>
  <c r="N6"/>
  <c r="K5"/>
  <c r="L3"/>
  <c r="I6"/>
  <c r="J5" s="1"/>
  <c r="J4"/>
  <c r="G5"/>
  <c r="H3"/>
  <c r="E6"/>
  <c r="F5" s="1"/>
  <c r="V4"/>
  <c r="R7" l="1"/>
  <c r="U6"/>
  <c r="S7"/>
  <c r="T6" s="1"/>
  <c r="O6"/>
  <c r="P4"/>
  <c r="N7"/>
  <c r="K6"/>
  <c r="L4"/>
  <c r="I7"/>
  <c r="J6" s="1"/>
  <c r="G6"/>
  <c r="H4"/>
  <c r="E7"/>
  <c r="F6" s="1"/>
  <c r="V5"/>
  <c r="U7" l="1"/>
  <c r="S8"/>
  <c r="O7"/>
  <c r="P5"/>
  <c r="N8"/>
  <c r="K7"/>
  <c r="L6" s="1"/>
  <c r="L5"/>
  <c r="I8"/>
  <c r="G7"/>
  <c r="H6" s="1"/>
  <c r="H5"/>
  <c r="E8"/>
  <c r="F7" s="1"/>
  <c r="V6"/>
  <c r="R9" l="1"/>
  <c r="R8"/>
  <c r="U8"/>
  <c r="S9"/>
  <c r="T7"/>
  <c r="O8"/>
  <c r="P6"/>
  <c r="N9"/>
  <c r="K8"/>
  <c r="L7" s="1"/>
  <c r="I9"/>
  <c r="J8" s="1"/>
  <c r="J7"/>
  <c r="G8"/>
  <c r="E9"/>
  <c r="F8" s="1"/>
  <c r="V7"/>
  <c r="R10" l="1"/>
  <c r="U9"/>
  <c r="S10"/>
  <c r="T9" s="1"/>
  <c r="T8"/>
  <c r="O9"/>
  <c r="P8" s="1"/>
  <c r="P7"/>
  <c r="N10"/>
  <c r="K9"/>
  <c r="L8" s="1"/>
  <c r="I10"/>
  <c r="J9" s="1"/>
  <c r="G9"/>
  <c r="H8" s="1"/>
  <c r="H7"/>
  <c r="E10"/>
  <c r="F9" s="1"/>
  <c r="V8"/>
  <c r="R11" l="1"/>
  <c r="U10"/>
  <c r="S11"/>
  <c r="T10" s="1"/>
  <c r="O10"/>
  <c r="P9" s="1"/>
  <c r="N11"/>
  <c r="K10"/>
  <c r="L9" s="1"/>
  <c r="I11"/>
  <c r="J10" s="1"/>
  <c r="G10"/>
  <c r="H9" s="1"/>
  <c r="E11"/>
  <c r="F10" s="1"/>
  <c r="V9"/>
  <c r="R12" l="1"/>
  <c r="U11"/>
  <c r="S12"/>
  <c r="T11" s="1"/>
  <c r="O11"/>
  <c r="P10" s="1"/>
  <c r="N12"/>
  <c r="K11"/>
  <c r="L10" s="1"/>
  <c r="I12"/>
  <c r="J11" s="1"/>
  <c r="G11"/>
  <c r="H10" s="1"/>
  <c r="E12"/>
  <c r="F11" s="1"/>
  <c r="V10"/>
  <c r="R13" l="1"/>
  <c r="U12"/>
  <c r="S13"/>
  <c r="T12" s="1"/>
  <c r="O12"/>
  <c r="P11" s="1"/>
  <c r="N13"/>
  <c r="K12"/>
  <c r="L11" s="1"/>
  <c r="I13"/>
  <c r="J12" s="1"/>
  <c r="G12"/>
  <c r="H11" s="1"/>
  <c r="E13"/>
  <c r="F12" s="1"/>
  <c r="V11"/>
  <c r="R14" l="1"/>
  <c r="U13"/>
  <c r="S14"/>
  <c r="T13" s="1"/>
  <c r="O13"/>
  <c r="P12" s="1"/>
  <c r="N14"/>
  <c r="K13"/>
  <c r="L12" s="1"/>
  <c r="I14"/>
  <c r="J13" s="1"/>
  <c r="G13"/>
  <c r="H12" s="1"/>
  <c r="E14"/>
  <c r="F13" s="1"/>
  <c r="V12"/>
  <c r="R15" l="1"/>
  <c r="U14"/>
  <c r="S15"/>
  <c r="O14"/>
  <c r="P13" s="1"/>
  <c r="N15"/>
  <c r="K14"/>
  <c r="L13" s="1"/>
  <c r="I15"/>
  <c r="J14" s="1"/>
  <c r="G14"/>
  <c r="H13" s="1"/>
  <c r="E15"/>
  <c r="F14" s="1"/>
  <c r="V13"/>
  <c r="R16" l="1"/>
  <c r="U15"/>
  <c r="S16"/>
  <c r="T15" s="1"/>
  <c r="T14"/>
  <c r="O15"/>
  <c r="P14" s="1"/>
  <c r="N16"/>
  <c r="K15"/>
  <c r="L14" s="1"/>
  <c r="I16"/>
  <c r="J15" s="1"/>
  <c r="G15"/>
  <c r="H14" s="1"/>
  <c r="E16"/>
  <c r="F15" s="1"/>
  <c r="V14"/>
  <c r="R17" l="1"/>
  <c r="U16"/>
  <c r="S17"/>
  <c r="O16"/>
  <c r="P15" s="1"/>
  <c r="N17"/>
  <c r="K16"/>
  <c r="L15" s="1"/>
  <c r="I17"/>
  <c r="J16" s="1"/>
  <c r="G16"/>
  <c r="H15" s="1"/>
  <c r="E17"/>
  <c r="F16" s="1"/>
  <c r="V15"/>
  <c r="R18" l="1"/>
  <c r="U17"/>
  <c r="S18"/>
  <c r="T16"/>
  <c r="O17"/>
  <c r="P16" s="1"/>
  <c r="N18"/>
  <c r="K17"/>
  <c r="L16" s="1"/>
  <c r="I18"/>
  <c r="J17" s="1"/>
  <c r="G17"/>
  <c r="H16" s="1"/>
  <c r="E18"/>
  <c r="F17" s="1"/>
  <c r="V16"/>
  <c r="R19" l="1"/>
  <c r="U18"/>
  <c r="S19"/>
  <c r="T18" s="1"/>
  <c r="T17"/>
  <c r="O18"/>
  <c r="P17" s="1"/>
  <c r="N19"/>
  <c r="K18"/>
  <c r="L17" s="1"/>
  <c r="I19"/>
  <c r="J18" s="1"/>
  <c r="G18"/>
  <c r="H17" s="1"/>
  <c r="E19"/>
  <c r="F18" s="1"/>
  <c r="V17"/>
  <c r="R20" l="1"/>
  <c r="U19"/>
  <c r="S20"/>
  <c r="T19" s="1"/>
  <c r="O19"/>
  <c r="P18" s="1"/>
  <c r="N20"/>
  <c r="K19"/>
  <c r="L18" s="1"/>
  <c r="I20"/>
  <c r="J19" s="1"/>
  <c r="G19"/>
  <c r="H18" s="1"/>
  <c r="E20"/>
  <c r="F19" s="1"/>
  <c r="V18"/>
  <c r="R21" l="1"/>
  <c r="U20"/>
  <c r="S21"/>
  <c r="T20" s="1"/>
  <c r="O20"/>
  <c r="P19" s="1"/>
  <c r="N21"/>
  <c r="K20"/>
  <c r="L19" s="1"/>
  <c r="I21"/>
  <c r="J20" s="1"/>
  <c r="G20"/>
  <c r="H19" s="1"/>
  <c r="E21"/>
  <c r="F20" s="1"/>
  <c r="V19"/>
  <c r="U21" l="1"/>
  <c r="S22"/>
  <c r="T21" s="1"/>
  <c r="O21"/>
  <c r="P20" s="1"/>
  <c r="N22"/>
  <c r="K21"/>
  <c r="L20" s="1"/>
  <c r="I22"/>
  <c r="J21" s="1"/>
  <c r="G21"/>
  <c r="H20" s="1"/>
  <c r="E22"/>
  <c r="F21" s="1"/>
  <c r="V20"/>
  <c r="R22" l="1"/>
  <c r="U22"/>
  <c r="S23"/>
  <c r="T22" s="1"/>
  <c r="O22"/>
  <c r="P21" s="1"/>
  <c r="N23"/>
  <c r="K22"/>
  <c r="L21" s="1"/>
  <c r="I23"/>
  <c r="J22" s="1"/>
  <c r="G22"/>
  <c r="H21" s="1"/>
  <c r="E23"/>
  <c r="F22" s="1"/>
  <c r="V21"/>
  <c r="R23" l="1"/>
  <c r="U23"/>
  <c r="S24"/>
  <c r="T23" s="1"/>
  <c r="O23"/>
  <c r="P22" s="1"/>
  <c r="N24"/>
  <c r="K23"/>
  <c r="L22" s="1"/>
  <c r="I24"/>
  <c r="J23" s="1"/>
  <c r="G23"/>
  <c r="H22" s="1"/>
  <c r="E24"/>
  <c r="F23" s="1"/>
  <c r="V22"/>
  <c r="R24" l="1"/>
  <c r="U24"/>
  <c r="S25"/>
  <c r="T24" s="1"/>
  <c r="O24"/>
  <c r="P23" s="1"/>
  <c r="N25"/>
  <c r="K24"/>
  <c r="L23" s="1"/>
  <c r="I25"/>
  <c r="J24" s="1"/>
  <c r="G24"/>
  <c r="H23" s="1"/>
  <c r="E25"/>
  <c r="F24" s="1"/>
  <c r="V23"/>
  <c r="R25" l="1"/>
  <c r="U25"/>
  <c r="S26"/>
  <c r="T25" s="1"/>
  <c r="O25"/>
  <c r="P24" s="1"/>
  <c r="N26"/>
  <c r="K25"/>
  <c r="L24" s="1"/>
  <c r="I26"/>
  <c r="J25" s="1"/>
  <c r="G25"/>
  <c r="H24" s="1"/>
  <c r="E26"/>
  <c r="F25" s="1"/>
  <c r="V24"/>
  <c r="R26" l="1"/>
  <c r="U26"/>
  <c r="S27"/>
  <c r="T26" s="1"/>
  <c r="O26"/>
  <c r="P25" s="1"/>
  <c r="N27"/>
  <c r="K26"/>
  <c r="L25" s="1"/>
  <c r="I27"/>
  <c r="J26" s="1"/>
  <c r="G26"/>
  <c r="H25" s="1"/>
  <c r="E27"/>
  <c r="F26" s="1"/>
  <c r="V25"/>
  <c r="R27" l="1"/>
  <c r="U27"/>
  <c r="S28"/>
  <c r="T27" s="1"/>
  <c r="O27"/>
  <c r="P26" s="1"/>
  <c r="N28"/>
  <c r="K27"/>
  <c r="L26" s="1"/>
  <c r="I28"/>
  <c r="J27" s="1"/>
  <c r="G27"/>
  <c r="H26" s="1"/>
  <c r="E28"/>
  <c r="F27" s="1"/>
  <c r="V26"/>
  <c r="R28" l="1"/>
  <c r="U28"/>
  <c r="S29"/>
  <c r="T28" s="1"/>
  <c r="O28"/>
  <c r="P27" s="1"/>
  <c r="N29"/>
  <c r="K28"/>
  <c r="L27" s="1"/>
  <c r="I29"/>
  <c r="J28" s="1"/>
  <c r="G28"/>
  <c r="H27" s="1"/>
  <c r="E29"/>
  <c r="F28" s="1"/>
  <c r="V27"/>
  <c r="R29" l="1"/>
  <c r="U29"/>
  <c r="S30"/>
  <c r="O29"/>
  <c r="P28" s="1"/>
  <c r="N30"/>
  <c r="K29"/>
  <c r="L28" s="1"/>
  <c r="I30"/>
  <c r="J29" s="1"/>
  <c r="G29"/>
  <c r="H28" s="1"/>
  <c r="E30"/>
  <c r="F29" s="1"/>
  <c r="V28"/>
  <c r="R30" l="1"/>
  <c r="U30"/>
  <c r="S31"/>
  <c r="T30" s="1"/>
  <c r="T29"/>
  <c r="O30"/>
  <c r="P29" s="1"/>
  <c r="N31"/>
  <c r="K30"/>
  <c r="L29" s="1"/>
  <c r="I31"/>
  <c r="J30" s="1"/>
  <c r="G30"/>
  <c r="H29" s="1"/>
  <c r="E31"/>
  <c r="F30" s="1"/>
  <c r="V29"/>
  <c r="R31" l="1"/>
  <c r="U31"/>
  <c r="S32"/>
  <c r="T31" s="1"/>
  <c r="O31"/>
  <c r="P30" s="1"/>
  <c r="N32"/>
  <c r="K31"/>
  <c r="L30" s="1"/>
  <c r="I32"/>
  <c r="J31" s="1"/>
  <c r="G31"/>
  <c r="H30" s="1"/>
  <c r="E32"/>
  <c r="F31" s="1"/>
  <c r="V30"/>
  <c r="R32" l="1"/>
  <c r="U32"/>
  <c r="S33"/>
  <c r="O32"/>
  <c r="P31" s="1"/>
  <c r="N33"/>
  <c r="K32"/>
  <c r="L31" s="1"/>
  <c r="I33"/>
  <c r="J32" s="1"/>
  <c r="G32"/>
  <c r="H31" s="1"/>
  <c r="E33"/>
  <c r="F32" s="1"/>
  <c r="V31"/>
  <c r="R33" l="1"/>
  <c r="U33"/>
  <c r="S34"/>
  <c r="T33" s="1"/>
  <c r="T32"/>
  <c r="O33"/>
  <c r="P32" s="1"/>
  <c r="N34"/>
  <c r="K33"/>
  <c r="L32" s="1"/>
  <c r="I34"/>
  <c r="J33" s="1"/>
  <c r="G33"/>
  <c r="H32" s="1"/>
  <c r="E34"/>
  <c r="F33" s="1"/>
  <c r="V32"/>
  <c r="R34" l="1"/>
  <c r="U34"/>
  <c r="S35"/>
  <c r="T34" s="1"/>
  <c r="O34"/>
  <c r="P33" s="1"/>
  <c r="N35"/>
  <c r="K34"/>
  <c r="L33" s="1"/>
  <c r="I35"/>
  <c r="J34" s="1"/>
  <c r="G34"/>
  <c r="H33" s="1"/>
  <c r="E35"/>
  <c r="F34" s="1"/>
  <c r="V33"/>
  <c r="R35" l="1"/>
  <c r="U35"/>
  <c r="S36"/>
  <c r="T35" s="1"/>
  <c r="O35"/>
  <c r="P34" s="1"/>
  <c r="N36"/>
  <c r="K35"/>
  <c r="L34" s="1"/>
  <c r="I36"/>
  <c r="J35" s="1"/>
  <c r="G35"/>
  <c r="H34" s="1"/>
  <c r="E36"/>
  <c r="F35" s="1"/>
  <c r="V34"/>
  <c r="R36" l="1"/>
  <c r="U36"/>
  <c r="S37"/>
  <c r="T36" s="1"/>
  <c r="O36"/>
  <c r="P35" s="1"/>
  <c r="N37"/>
  <c r="K36"/>
  <c r="L35" s="1"/>
  <c r="I37"/>
  <c r="J36" s="1"/>
  <c r="G36"/>
  <c r="H35" s="1"/>
  <c r="E37"/>
  <c r="F36" s="1"/>
  <c r="V35"/>
  <c r="R37" l="1"/>
  <c r="U37"/>
  <c r="S38"/>
  <c r="T37" s="1"/>
  <c r="O37"/>
  <c r="P36" s="1"/>
  <c r="N38"/>
  <c r="K37"/>
  <c r="L36" s="1"/>
  <c r="I38"/>
  <c r="J37" s="1"/>
  <c r="G37"/>
  <c r="H36" s="1"/>
  <c r="E38"/>
  <c r="F37" s="1"/>
  <c r="V36"/>
  <c r="R38" l="1"/>
  <c r="U38"/>
  <c r="S39"/>
  <c r="T38" s="1"/>
  <c r="O38"/>
  <c r="P37" s="1"/>
  <c r="N39"/>
  <c r="K38"/>
  <c r="L37" s="1"/>
  <c r="I39"/>
  <c r="J38" s="1"/>
  <c r="G38"/>
  <c r="H37" s="1"/>
  <c r="E39"/>
  <c r="F38" s="1"/>
  <c r="V37"/>
  <c r="R39" l="1"/>
  <c r="U39"/>
  <c r="S40"/>
  <c r="T39" s="1"/>
  <c r="O39"/>
  <c r="P38" s="1"/>
  <c r="N40"/>
  <c r="K39"/>
  <c r="L38" s="1"/>
  <c r="I40"/>
  <c r="J39" s="1"/>
  <c r="G39"/>
  <c r="H38" s="1"/>
  <c r="E40"/>
  <c r="F39" s="1"/>
  <c r="V38"/>
  <c r="R40" l="1"/>
  <c r="U40"/>
  <c r="S41"/>
  <c r="T40" s="1"/>
  <c r="O40"/>
  <c r="P39" s="1"/>
  <c r="N41"/>
  <c r="K40"/>
  <c r="L39" s="1"/>
  <c r="I41"/>
  <c r="J40" s="1"/>
  <c r="G40"/>
  <c r="H39" s="1"/>
  <c r="E41"/>
  <c r="F40" s="1"/>
  <c r="V39"/>
  <c r="R41" l="1"/>
  <c r="U41"/>
  <c r="S42"/>
  <c r="T41" s="1"/>
  <c r="O41"/>
  <c r="P40" s="1"/>
  <c r="N42"/>
  <c r="K41"/>
  <c r="L40" s="1"/>
  <c r="I42"/>
  <c r="J41" s="1"/>
  <c r="G41"/>
  <c r="H40" s="1"/>
  <c r="E42"/>
  <c r="F41" s="1"/>
  <c r="V40"/>
  <c r="R44" l="1"/>
  <c r="R42"/>
  <c r="U42"/>
  <c r="S43"/>
  <c r="T42" s="1"/>
  <c r="O42"/>
  <c r="P41" s="1"/>
  <c r="N43"/>
  <c r="N44"/>
  <c r="K42"/>
  <c r="L41" s="1"/>
  <c r="I43"/>
  <c r="J42" s="1"/>
  <c r="G42"/>
  <c r="H41" s="1"/>
  <c r="E43"/>
  <c r="F42" s="1"/>
  <c r="V41"/>
  <c r="R43" l="1"/>
  <c r="U43"/>
  <c r="S44"/>
  <c r="T44" s="1"/>
  <c r="O43"/>
  <c r="P42" s="1"/>
  <c r="K43"/>
  <c r="L42" s="1"/>
  <c r="I44"/>
  <c r="J44" s="1"/>
  <c r="G43"/>
  <c r="H42" s="1"/>
  <c r="E44"/>
  <c r="F44" s="1"/>
  <c r="V42"/>
  <c r="T43" l="1"/>
  <c r="U44"/>
  <c r="O44"/>
  <c r="P44" s="1"/>
  <c r="K44"/>
  <c r="L44" s="1"/>
  <c r="J43"/>
  <c r="G44"/>
  <c r="H44" s="1"/>
  <c r="F43"/>
  <c r="V44"/>
  <c r="P43" l="1"/>
  <c r="L43"/>
  <c r="H43"/>
  <c r="V43"/>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Read the edge into the graph and show it.  This is the default.
</t>
        </r>
        <r>
          <rPr>
            <b/>
            <sz val="8"/>
            <color indexed="81"/>
            <rFont val="Tahoma"/>
            <family val="2"/>
          </rPr>
          <t>Skip</t>
        </r>
        <r>
          <rPr>
            <sz val="8"/>
            <color indexed="81"/>
            <rFont val="Tahoma"/>
            <family val="2"/>
          </rPr>
          <t xml:space="preserve">
Skip the edge row.  Do not read it into the graph.
</t>
        </r>
        <r>
          <rPr>
            <b/>
            <sz val="8"/>
            <color indexed="81"/>
            <rFont val="Tahoma"/>
            <family val="2"/>
          </rPr>
          <t>Hide</t>
        </r>
        <r>
          <rPr>
            <sz val="8"/>
            <color indexed="81"/>
            <rFont val="Tahoma"/>
            <family val="2"/>
          </rPr>
          <t xml:space="preserve">
Read the edge into the graph but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0">
      <text>
        <r>
          <rPr>
            <b/>
            <sz val="8"/>
            <color indexed="81"/>
            <rFont val="Tahoma"/>
            <family val="2"/>
          </rPr>
          <t xml:space="preserve">Edge ID
</t>
        </r>
        <r>
          <rPr>
            <sz val="8"/>
            <color indexed="81"/>
            <rFont val="Tahoma"/>
            <family val="2"/>
          </rPr>
          <t>This is a unique ID that gets filled in automatically.  Do not edit this column.</t>
        </r>
      </text>
    </comment>
    <comment ref="K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If the vertex is part of an edge, show it.  Otherwise, ignore the vertex row.  This is the default.
</t>
        </r>
        <r>
          <rPr>
            <b/>
            <sz val="8"/>
            <color indexed="81"/>
            <rFont val="Tahoma"/>
            <family val="2"/>
          </rPr>
          <t>Skip</t>
        </r>
        <r>
          <rPr>
            <sz val="8"/>
            <color indexed="81"/>
            <rFont val="Tahoma"/>
            <family val="2"/>
          </rPr>
          <t xml:space="preserve">
Skip the vertex row and any edge rows that use the vertex.  Do not read them into the graph.
</t>
        </r>
        <r>
          <rPr>
            <b/>
            <sz val="8"/>
            <color indexed="81"/>
            <rFont val="Tahoma"/>
            <family val="2"/>
          </rPr>
          <t>Hide</t>
        </r>
        <r>
          <rPr>
            <sz val="8"/>
            <color indexed="81"/>
            <rFont val="Tahoma"/>
            <family val="2"/>
          </rPr>
          <t xml:space="preserve">
If the vertex is part of an edge, hide the vertex and its edges.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You can also enter the cluster information manually.  To enter the information manually, you must enter one row on this worksheet for each cluster, then indicate which vertices are in which clusters by filling in the Cluster Vertices worksheet.
When clusters are read into the workbook, the Color and Shape columns on the Vertices worksheet are ignored.</t>
        </r>
      </text>
    </comment>
    <comment ref="B1" authorId="0">
      <text>
        <r>
          <rPr>
            <b/>
            <sz val="8"/>
            <color indexed="81"/>
            <rFont val="Tahoma"/>
            <family val="2"/>
          </rPr>
          <t xml:space="preserve">Vertex Color
</t>
        </r>
        <r>
          <rPr>
            <sz val="8"/>
            <color indexed="81"/>
            <rFont val="Tahoma"/>
            <family val="2"/>
          </rPr>
          <t xml:space="preserve">
To select a color to use for all vertices in the cluster,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1" authorId="0">
      <text>
        <r>
          <rPr>
            <b/>
            <sz val="8"/>
            <color indexed="81"/>
            <rFont val="Tahoma"/>
            <family val="2"/>
          </rPr>
          <t>Vertex Shape</t>
        </r>
        <r>
          <rPr>
            <sz val="8"/>
            <color indexed="81"/>
            <rFont val="Tahoma"/>
            <family val="2"/>
          </rPr>
          <t xml:space="preserve">
Select a shape to use for all vertices in the cluster.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List>
</comments>
</file>

<file path=xl/comments4.xml><?xml version="1.0" encoding="utf-8"?>
<comments xmlns="http://schemas.openxmlformats.org/spreadsheetml/2006/main">
  <authors>
    <author>TonyAdmin</author>
  </authors>
  <commentList>
    <comment ref="A1" authorId="0">
      <text>
        <r>
          <rPr>
            <b/>
            <sz val="8"/>
            <color indexed="81"/>
            <rFont val="Tahoma"/>
            <family val="2"/>
          </rPr>
          <t>Cluster Name</t>
        </r>
        <r>
          <rPr>
            <sz val="8"/>
            <color indexed="81"/>
            <rFont val="Tahoma"/>
            <family val="2"/>
          </rPr>
          <t xml:space="preserve">
Enter the name of the cluster.  The cluster name must also be entered on the Clusters worksheet.
</t>
        </r>
        <r>
          <rPr>
            <u/>
            <sz val="8"/>
            <color indexed="81"/>
            <rFont val="Tahoma"/>
            <family val="2"/>
          </rPr>
          <t>Worksheet Overview</t>
        </r>
        <r>
          <rPr>
            <sz val="8"/>
            <color indexed="81"/>
            <rFont val="Tahoma"/>
            <family val="2"/>
          </rPr>
          <t xml:space="preserve">
A cluster is a group of related vertices.  Clusters are indicated by vertex color and shape when the workbook is read into the graph.  All the vertices in one cluster might be red disks, for example.
You can automatically partition the graph into clusters by clicking the Find Clusters button on the NodeXL tab in the Excel Ribbon.  You can also enter the cluster information manually.  To enter the information manually, you must enter one row on the Clusters worksheet for each cluster, then indicate which vertices are in which clusters by filling in this worksheet.
When clusters are read into the workbook, the Color and Shape columns on the Vertices worksheet are ignored.</t>
        </r>
      </text>
    </comment>
    <comment ref="B1" authorId="0">
      <text>
        <r>
          <rPr>
            <b/>
            <sz val="8"/>
            <color indexed="81"/>
            <rFont val="Tahoma"/>
            <family val="2"/>
          </rPr>
          <t>Vertex Name</t>
        </r>
        <r>
          <rPr>
            <sz val="8"/>
            <color indexed="81"/>
            <rFont val="Tahoma"/>
            <family val="2"/>
          </rPr>
          <t xml:space="preserve">
Enter the name of a vertex to include in this cluster.</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metrics for the graph.  These and other graph metrics can be computed with the Graph Metrics button in the Analysis group in the NodeXL Ribbon tab.</t>
        </r>
      </text>
    </comment>
  </commentList>
</comments>
</file>

<file path=xl/sharedStrings.xml><?xml version="1.0" encoding="utf-8"?>
<sst xmlns="http://schemas.openxmlformats.org/spreadsheetml/2006/main" count="179" uniqueCount="160">
  <si>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</si>
  <si>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</si>
  <si>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</si>
  <si>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</si>
  <si>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</si>
  <si>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</si>
  <si>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</si>
  <si>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</si>
  <si>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</si>
  <si>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</si>
  <si>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</si>
  <si>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</si>
  <si>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</si>
  <si>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</si>
  <si>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</si>
  <si>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</si>
  <si>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</si>
  <si>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Cluster</t>
  </si>
  <si>
    <t>Metric</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</si>
  <si>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</si>
  <si>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</si>
  <si>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</si>
  <si>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</si>
  <si>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</si>
  <si>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</si>
  <si>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</si>
  <si>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</si>
  <si>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</si>
  <si>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</si>
  <si>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</si>
  <si>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</si>
  <si>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</si>
  <si>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</si>
  <si>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</si>
  <si>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</si>
  <si>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</si>
  <si>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</si>
  <si>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</si>
  <si>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</si>
  <si>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</si>
  <si>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</si>
  <si>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</si>
  <si>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</si>
  <si>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</si>
  <si>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</si>
  <si>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</si>
  <si>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</si>
  <si>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</si>
  <si>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</si>
  <si>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</si>
  <si>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</si>
  <si>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</si>
  <si>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</si>
  <si>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</si>
  <si>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</si>
  <si>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</si>
  <si>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</si>
  <si>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</si>
  <si>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</si>
  <si>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</si>
  <si>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</si>
  <si>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</si>
  <si>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</si>
  <si>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</si>
  <si>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</si>
  <si>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</si>
  <si>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</si>
  <si>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</si>
  <si>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</si>
  <si>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</si>
  <si>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</si>
  <si>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</si>
  <si>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</si>
  <si>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</si>
  <si>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</si>
  <si>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</si>
  <si>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</si>
  <si>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</si>
  <si>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</si>
  <si>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</si>
  <si>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</si>
  <si>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</si>
  <si>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</si>
  <si>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</si>
  <si>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</si>
  <si>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</si>
  <si>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</si>
  <si>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</si>
  <si>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</si>
  <si>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</si>
  <si>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</si>
  <si>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</si>
  <si>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</si>
  <si>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Comments</t>
  </si>
  <si>
    <t>Degree Bin</t>
  </si>
  <si>
    <t>Degree Frequency</t>
  </si>
  <si>
    <t>Minimum Degree</t>
  </si>
  <si>
    <t>Maximum Degree</t>
  </si>
  <si>
    <t>Average Degree</t>
  </si>
  <si>
    <t>Median Degree</t>
  </si>
  <si>
    <t>Not Available</t>
  </si>
  <si>
    <t xml:space="preserve"> </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</si>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</sst>
</file>

<file path=xl/styles.xml><?xml version="1.0" encoding="utf-8"?>
<styleSheet xmlns="http://schemas.openxmlformats.org/spreadsheetml/2006/main">
  <numFmts count="4">
    <numFmt numFmtId="164" formatCode="0.0"/>
    <numFmt numFmtId="165" formatCode="#,##0.0"/>
    <numFmt numFmtId="166" formatCode="#,##0.000"/>
    <numFmt numFmtId="167" formatCode="0.000"/>
  </numFmts>
  <fonts count="9">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s>
  <fills count="10">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s>
  <borders count="8">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s>
  <cellStyleXfs count="9">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cellStyleXfs>
  <cellXfs count="62">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0" fontId="0" fillId="2" borderId="1" xfId="1" applyNumberFormat="1" applyFont="1"/>
    <xf numFmtId="0" fontId="0" fillId="0" borderId="0" xfId="2" applyNumberFormat="1" applyFont="1"/>
    <xf numFmtId="49" fontId="0" fillId="0" borderId="0" xfId="3" applyNumberFormat="1" applyFont="1"/>
    <xf numFmtId="0" fontId="0" fillId="5" borderId="1" xfId="4" applyNumberFormat="1" applyFont="1"/>
    <xf numFmtId="164" fontId="0" fillId="5" borderId="1" xfId="4" applyNumberFormat="1" applyFont="1"/>
    <xf numFmtId="1" fontId="0" fillId="5" borderId="1" xfId="4" applyNumberFormat="1" applyFont="1"/>
    <xf numFmtId="1" fontId="0" fillId="4" borderId="1" xfId="5" applyNumberFormat="1" applyFont="1" applyAlignment="1"/>
    <xf numFmtId="167" fontId="0" fillId="4" borderId="1" xfId="5" applyNumberFormat="1" applyFont="1" applyAlignment="1"/>
    <xf numFmtId="164" fontId="0" fillId="3" borderId="1" xfId="7" applyNumberFormat="1" applyFont="1"/>
    <xf numFmtId="165" fontId="0" fillId="3" borderId="1" xfId="7" applyNumberFormat="1" applyFont="1"/>
    <xf numFmtId="0" fontId="0" fillId="3" borderId="1" xfId="7" applyNumberFormat="1" applyFont="1"/>
    <xf numFmtId="166" fontId="0" fillId="3" borderId="1" xfId="7" applyNumberFormat="1" applyFont="1"/>
    <xf numFmtId="49" fontId="6" fillId="6" borderId="1" xfId="6" applyNumberFormat="1"/>
    <xf numFmtId="0"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cellXfs>
  <cellStyles count="9">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s>
  <dxfs count="72">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i val="0"/>
        <strike val="0"/>
        <condense val="0"/>
        <extend val="0"/>
        <outline val="0"/>
        <shadow val="0"/>
        <u val="none"/>
        <vertAlign val="baseline"/>
        <sz val="11"/>
        <color theme="1"/>
        <name val="Calibri"/>
        <scheme val="minor"/>
      </font>
      <alignment horizontal="general" vertical="bottom" textRotation="0" wrapText="1" indent="0" relativeIndent="0" justifyLastLine="0" shrinkToFit="0" mergeCell="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alignment horizontal="general" vertical="bottom" textRotation="0" wrapText="0" indent="0" relativeIndent="255" justifyLastLine="0" shrinkToFit="0" mergeCell="0" readingOrder="0"/>
    </dxf>
    <dxf>
      <numFmt numFmtId="30" formatCode="@"/>
    </dxf>
    <dxf>
      <numFmt numFmtId="30" formatCode="@"/>
    </dxf>
    <dxf>
      <numFmt numFmtId="30" formatCode="@"/>
    </dxf>
    <dxf>
      <numFmt numFmtId="30" formatCode="@"/>
    </dxf>
    <dxf>
      <numFmt numFmtId="0" formatCode="General"/>
    </dxf>
    <dxf>
      <numFmt numFmtId="0" formatCode="General"/>
    </dxf>
    <dxf>
      <numFmt numFmtId="30" formatCode="@"/>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relativeIndent="255" justifyLastLine="0" shrinkToFit="0" mergeCell="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indent="0" relativeIndent="0" justifyLastLine="0" shrinkToFit="0" mergeCell="0" readingOrder="0"/>
    </dxf>
    <dxf>
      <numFmt numFmtId="167" formatCode="0.000"/>
      <alignment horizontal="general" vertical="bottom" textRotation="0" wrapText="0" indent="0" relativeIndent="255" justifyLastLine="0" shrinkToFit="0" mergeCell="0" readingOrder="0"/>
    </dxf>
    <dxf>
      <numFmt numFmtId="167" formatCode="0.00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1" formatCode="0"/>
      <alignment horizontal="general" vertical="bottom" textRotation="0" wrapText="0" indent="0" relativeIndent="255" justifyLastLine="0" shrinkToFit="0" mergeCell="0" readingOrder="0"/>
    </dxf>
    <dxf>
      <numFmt numFmtId="30" formatCode="@"/>
    </dxf>
    <dxf>
      <numFmt numFmtId="30" formatCode="@"/>
    </dxf>
    <dxf>
      <numFmt numFmtId="30" formatCode="@"/>
      <alignment horizontal="general" vertical="bottom" textRotation="0" wrapText="1" indent="0" relativeIndent="255" justifyLastLine="0" shrinkToFit="0" mergeCell="0" readingOrder="0"/>
    </dxf>
    <dxf>
      <numFmt numFmtId="0" formatCode="General"/>
    </dxf>
    <dxf>
      <numFmt numFmtId="0" formatCode="General"/>
    </dxf>
    <dxf>
      <numFmt numFmtId="0" formatCode="General"/>
    </dxf>
    <dxf>
      <numFmt numFmtId="30" formatCode="@"/>
    </dxf>
    <dxf>
      <numFmt numFmtId="0" formatCode="General"/>
    </dxf>
    <dxf>
      <numFmt numFmtId="1" formatCode="0"/>
    </dxf>
    <dxf>
      <font>
        <b val="0"/>
        <i val="0"/>
        <strike val="0"/>
        <condense val="0"/>
        <extend val="0"/>
        <outline val="0"/>
        <shadow val="0"/>
        <u val="none"/>
        <vertAlign val="baseline"/>
        <sz val="11"/>
        <color theme="1"/>
        <name val="Calibri"/>
        <scheme val="minor"/>
      </font>
      <numFmt numFmtId="0" formatCode="General"/>
    </dxf>
    <dxf>
      <numFmt numFmtId="164" formatCode="0.0"/>
    </dxf>
    <dxf>
      <numFmt numFmtId="0" formatCode="General"/>
    </dxf>
    <dxf>
      <numFmt numFmtId="30" formatCode="@"/>
    </dxf>
    <dxf>
      <numFmt numFmtId="30" formatCode="@"/>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71"/>
    </tableStyle>
  </tableStyles>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Metrics'!$F$2</c:f>
              <c:strCache>
                <c:ptCount val="1"/>
                <c:pt idx="0">
                  <c:v>0</c:v>
                </c:pt>
              </c:strCache>
            </c:strRef>
          </c:tx>
          <c:spPr>
            <a:solidFill>
              <a:schemeClr val="accent1"/>
            </a:solidFill>
          </c:spPr>
          <c:cat>
            <c:numRef>
              <c:f>'Overall Metrics'!$E$2:$E$45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Metrics'!$F$2:$F$45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4335616"/>
        <c:axId val="104342272"/>
      </c:barChart>
      <c:catAx>
        <c:axId val="104335616"/>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title>
        <c:numFmt formatCode="#,##0.00" sourceLinked="1"/>
        <c:tickLblPos val="none"/>
        <c:crossAx val="104342272"/>
        <c:crosses val="autoZero"/>
        <c:auto val="1"/>
        <c:lblAlgn val="ctr"/>
        <c:lblOffset val="100"/>
      </c:catAx>
      <c:valAx>
        <c:axId val="104342272"/>
        <c:scaling>
          <c:orientation val="minMax"/>
        </c:scaling>
        <c:axPos val="l"/>
        <c:majorGridlines/>
        <c:title>
          <c:tx>
            <c:rich>
              <a:bodyPr rot="-5400000" vert="horz"/>
              <a:lstStyle/>
              <a:p>
                <a:pPr>
                  <a:defRPr/>
                </a:pPr>
                <a:r>
                  <a:rPr lang="en-US"/>
                  <a:t>Frequency</a:t>
                </a:r>
              </a:p>
            </c:rich>
          </c:tx>
          <c:layout/>
        </c:title>
        <c:numFmt formatCode="General" sourceLinked="1"/>
        <c:tickLblPos val="nextTo"/>
        <c:crossAx val="104335616"/>
        <c:crosses val="autoZero"/>
        <c:crossBetween val="between"/>
      </c:valAx>
    </c:plotArea>
  </c:chart>
  <c:printSettings>
    <c:headerFooter/>
    <c:pageMargins b="0.75000000000000699" l="0.70000000000000062" r="0.70000000000000062" t="0.75000000000000699"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Metrics'!$H$2</c:f>
              <c:strCache>
                <c:ptCount val="1"/>
                <c:pt idx="0">
                  <c:v>0</c:v>
                </c:pt>
              </c:strCache>
            </c:strRef>
          </c:tx>
          <c:spPr>
            <a:solidFill>
              <a:schemeClr val="accent1"/>
            </a:solidFill>
          </c:spPr>
          <c:cat>
            <c:numRef>
              <c:f>'Overall Metrics'!$G$2:$G$45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Metrics'!$H$2:$H$45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4375040"/>
        <c:axId val="104376960"/>
      </c:barChart>
      <c:catAx>
        <c:axId val="104375040"/>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title>
        <c:numFmt formatCode="#,##0.00" sourceLinked="1"/>
        <c:tickLblPos val="none"/>
        <c:crossAx val="104376960"/>
        <c:crosses val="autoZero"/>
        <c:auto val="1"/>
        <c:lblAlgn val="ctr"/>
        <c:lblOffset val="100"/>
      </c:catAx>
      <c:valAx>
        <c:axId val="104376960"/>
        <c:scaling>
          <c:orientation val="minMax"/>
        </c:scaling>
        <c:axPos val="l"/>
        <c:majorGridlines/>
        <c:title>
          <c:tx>
            <c:rich>
              <a:bodyPr rot="-5400000" vert="horz"/>
              <a:lstStyle/>
              <a:p>
                <a:pPr>
                  <a:defRPr/>
                </a:pPr>
                <a:r>
                  <a:rPr lang="en-US"/>
                  <a:t>Frequency</a:t>
                </a:r>
              </a:p>
            </c:rich>
          </c:tx>
          <c:layout/>
        </c:title>
        <c:numFmt formatCode="General" sourceLinked="1"/>
        <c:tickLblPos val="nextTo"/>
        <c:crossAx val="104375040"/>
        <c:crosses val="autoZero"/>
        <c:crossBetween val="between"/>
      </c:valAx>
    </c:plotArea>
  </c:chart>
  <c:printSettings>
    <c:headerFooter/>
    <c:pageMargins b="0.75000000000000722" l="0.70000000000000062" r="0.70000000000000062" t="0.7500000000000072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Metrics'!$J$2</c:f>
              <c:strCache>
                <c:ptCount val="1"/>
                <c:pt idx="0">
                  <c:v>0</c:v>
                </c:pt>
              </c:strCache>
            </c:strRef>
          </c:tx>
          <c:spPr>
            <a:solidFill>
              <a:schemeClr val="accent1"/>
            </a:solidFill>
          </c:spPr>
          <c:cat>
            <c:numRef>
              <c:f>'Overall Metrics'!$I$2:$I$45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Metrics'!$J$2:$J$45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4389248"/>
        <c:axId val="105579264"/>
      </c:barChart>
      <c:catAx>
        <c:axId val="104389248"/>
        <c:scaling>
          <c:orientation val="minMax"/>
        </c:scaling>
        <c:delete val="1"/>
        <c:axPos val="b"/>
        <c:title>
          <c:tx>
            <c:rich>
              <a:bodyPr/>
              <a:lstStyle/>
              <a:p>
                <a:pPr>
                  <a:defRPr/>
                </a:pPr>
                <a:r>
                  <a:rPr lang="en-US"/>
                  <a:t>Out-Degree</a:t>
                </a:r>
              </a:p>
            </c:rich>
          </c:tx>
          <c:layout>
            <c:manualLayout>
              <c:xMode val="edge"/>
              <c:yMode val="edge"/>
              <c:x val="0.41379516818709683"/>
              <c:y val="0.80898890864448936"/>
            </c:manualLayout>
          </c:layout>
        </c:title>
        <c:numFmt formatCode="#,##0.00" sourceLinked="1"/>
        <c:tickLblPos val="none"/>
        <c:crossAx val="105579264"/>
        <c:crosses val="autoZero"/>
        <c:auto val="1"/>
        <c:lblAlgn val="ctr"/>
        <c:lblOffset val="100"/>
      </c:catAx>
      <c:valAx>
        <c:axId val="105579264"/>
        <c:scaling>
          <c:orientation val="minMax"/>
        </c:scaling>
        <c:axPos val="l"/>
        <c:majorGridlines/>
        <c:title>
          <c:tx>
            <c:rich>
              <a:bodyPr rot="-5400000" vert="horz"/>
              <a:lstStyle/>
              <a:p>
                <a:pPr>
                  <a:defRPr/>
                </a:pPr>
                <a:r>
                  <a:rPr lang="en-US"/>
                  <a:t>Frequency</a:t>
                </a:r>
              </a:p>
            </c:rich>
          </c:tx>
        </c:title>
        <c:numFmt formatCode="General" sourceLinked="1"/>
        <c:tickLblPos val="nextTo"/>
        <c:crossAx val="104389248"/>
        <c:crosses val="autoZero"/>
        <c:crossBetween val="between"/>
      </c:valAx>
    </c:plotArea>
  </c:chart>
  <c:printSettings>
    <c:headerFooter/>
    <c:pageMargins b="0.75000000000000722" l="0.70000000000000062" r="0.70000000000000062" t="0.7500000000000072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Metrics'!$L$2</c:f>
              <c:strCache>
                <c:ptCount val="1"/>
                <c:pt idx="0">
                  <c:v>0</c:v>
                </c:pt>
              </c:strCache>
            </c:strRef>
          </c:tx>
          <c:spPr>
            <a:solidFill>
              <a:schemeClr val="accent1"/>
            </a:solidFill>
          </c:spPr>
          <c:cat>
            <c:numRef>
              <c:f>'Overall Metrics'!$K$2:$K$45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Metrics'!$L$2:$L$45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612800"/>
        <c:axId val="105614720"/>
      </c:barChart>
      <c:catAx>
        <c:axId val="105612800"/>
        <c:scaling>
          <c:orientation val="minMax"/>
        </c:scaling>
        <c:delete val="1"/>
        <c:axPos val="b"/>
        <c:title>
          <c:tx>
            <c:rich>
              <a:bodyPr/>
              <a:lstStyle/>
              <a:p>
                <a:pPr>
                  <a:defRPr/>
                </a:pPr>
                <a:r>
                  <a:rPr lang="en-US"/>
                  <a:t>Betweenness Centrality</a:t>
                </a:r>
              </a:p>
            </c:rich>
          </c:tx>
          <c:layout>
            <c:manualLayout>
              <c:xMode val="edge"/>
              <c:yMode val="edge"/>
              <c:x val="0.32728710116055143"/>
              <c:y val="0.82619320971975252"/>
            </c:manualLayout>
          </c:layout>
        </c:title>
        <c:numFmt formatCode="#,##0.00" sourceLinked="1"/>
        <c:tickLblPos val="none"/>
        <c:crossAx val="105614720"/>
        <c:crosses val="autoZero"/>
        <c:auto val="1"/>
        <c:lblAlgn val="ctr"/>
        <c:lblOffset val="100"/>
      </c:catAx>
      <c:valAx>
        <c:axId val="105614720"/>
        <c:scaling>
          <c:orientation val="minMax"/>
        </c:scaling>
        <c:axPos val="l"/>
        <c:majorGridlines/>
        <c:title>
          <c:tx>
            <c:rich>
              <a:bodyPr rot="-5400000" vert="horz"/>
              <a:lstStyle/>
              <a:p>
                <a:pPr>
                  <a:defRPr/>
                </a:pPr>
                <a:r>
                  <a:rPr lang="en-US"/>
                  <a:t>Frequency</a:t>
                </a:r>
              </a:p>
            </c:rich>
          </c:tx>
        </c:title>
        <c:numFmt formatCode="General" sourceLinked="1"/>
        <c:tickLblPos val="nextTo"/>
        <c:crossAx val="105612800"/>
        <c:crosses val="autoZero"/>
        <c:crossBetween val="between"/>
      </c:valAx>
    </c:plotArea>
  </c:chart>
  <c:printSettings>
    <c:headerFooter/>
    <c:pageMargins b="0.75000000000000722" l="0.70000000000000062" r="0.70000000000000062" t="0.7500000000000072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Metrics'!$N$2</c:f>
              <c:strCache>
                <c:ptCount val="1"/>
                <c:pt idx="0">
                  <c:v>0</c:v>
                </c:pt>
              </c:strCache>
            </c:strRef>
          </c:tx>
          <c:spPr>
            <a:solidFill>
              <a:schemeClr val="accent1"/>
            </a:solidFill>
          </c:spPr>
          <c:cat>
            <c:numRef>
              <c:f>'Overall Metrics'!$M$2:$M$45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Metrics'!$N$2:$N$45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634432"/>
        <c:axId val="105648896"/>
      </c:barChart>
      <c:catAx>
        <c:axId val="105634432"/>
        <c:scaling>
          <c:orientation val="minMax"/>
        </c:scaling>
        <c:delete val="1"/>
        <c:axPos val="b"/>
        <c:title>
          <c:tx>
            <c:rich>
              <a:bodyPr/>
              <a:lstStyle/>
              <a:p>
                <a:pPr>
                  <a:defRPr/>
                </a:pPr>
                <a:r>
                  <a:rPr lang="en-US"/>
                  <a:t>Closeness Centrality</a:t>
                </a:r>
              </a:p>
            </c:rich>
          </c:tx>
          <c:layout>
            <c:manualLayout>
              <c:xMode val="edge"/>
              <c:yMode val="edge"/>
              <c:x val="0.35406086287407307"/>
              <c:y val="0.82619320971975252"/>
            </c:manualLayout>
          </c:layout>
        </c:title>
        <c:numFmt formatCode="#,##0.00" sourceLinked="1"/>
        <c:tickLblPos val="none"/>
        <c:crossAx val="105648896"/>
        <c:crosses val="autoZero"/>
        <c:auto val="1"/>
        <c:lblAlgn val="ctr"/>
        <c:lblOffset val="100"/>
      </c:catAx>
      <c:valAx>
        <c:axId val="105648896"/>
        <c:scaling>
          <c:orientation val="minMax"/>
        </c:scaling>
        <c:axPos val="l"/>
        <c:majorGridlines/>
        <c:title>
          <c:tx>
            <c:rich>
              <a:bodyPr rot="-5400000" vert="horz"/>
              <a:lstStyle/>
              <a:p>
                <a:pPr>
                  <a:defRPr/>
                </a:pPr>
                <a:r>
                  <a:rPr lang="en-US"/>
                  <a:t>Frequency</a:t>
                </a:r>
              </a:p>
            </c:rich>
          </c:tx>
        </c:title>
        <c:numFmt formatCode="General" sourceLinked="1"/>
        <c:tickLblPos val="nextTo"/>
        <c:crossAx val="105634432"/>
        <c:crosses val="autoZero"/>
        <c:crossBetween val="between"/>
      </c:valAx>
    </c:plotArea>
  </c:chart>
  <c:printSettings>
    <c:headerFooter/>
    <c:pageMargins b="0.75000000000000744" l="0.70000000000000062" r="0.70000000000000062" t="0.75000000000000744"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Metrics'!$P$2</c:f>
              <c:strCache>
                <c:ptCount val="1"/>
                <c:pt idx="0">
                  <c:v>0</c:v>
                </c:pt>
              </c:strCache>
            </c:strRef>
          </c:tx>
          <c:spPr>
            <a:solidFill>
              <a:schemeClr val="accent1"/>
            </a:solidFill>
          </c:spPr>
          <c:cat>
            <c:numRef>
              <c:f>'Overall Metrics'!$O$2:$O$45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Metrics'!$P$2:$P$45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698048"/>
        <c:axId val="105699968"/>
      </c:barChart>
      <c:catAx>
        <c:axId val="105698048"/>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245"/>
              <c:y val="0.82619320971975252"/>
            </c:manualLayout>
          </c:layout>
        </c:title>
        <c:numFmt formatCode="#,##0.00" sourceLinked="1"/>
        <c:tickLblPos val="none"/>
        <c:crossAx val="105699968"/>
        <c:crosses val="autoZero"/>
        <c:auto val="1"/>
        <c:lblAlgn val="ctr"/>
        <c:lblOffset val="100"/>
      </c:catAx>
      <c:valAx>
        <c:axId val="105699968"/>
        <c:scaling>
          <c:orientation val="minMax"/>
        </c:scaling>
        <c:axPos val="l"/>
        <c:majorGridlines/>
        <c:title>
          <c:tx>
            <c:rich>
              <a:bodyPr rot="-5400000" vert="horz"/>
              <a:lstStyle/>
              <a:p>
                <a:pPr>
                  <a:defRPr/>
                </a:pPr>
                <a:r>
                  <a:rPr lang="en-US"/>
                  <a:t>Frequency</a:t>
                </a:r>
              </a:p>
            </c:rich>
          </c:tx>
        </c:title>
        <c:numFmt formatCode="General" sourceLinked="1"/>
        <c:tickLblPos val="nextTo"/>
        <c:crossAx val="105698048"/>
        <c:crosses val="autoZero"/>
        <c:crossBetween val="between"/>
      </c:valAx>
    </c:plotArea>
  </c:chart>
  <c:printSettings>
    <c:headerFooter/>
    <c:pageMargins b="0.75000000000000766" l="0.70000000000000062" r="0.70000000000000062" t="0.75000000000000766"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Metrics'!$T$2</c:f>
              <c:strCache>
                <c:ptCount val="1"/>
                <c:pt idx="0">
                  <c:v>0</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Metrics'!$T$2:$T$45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716352"/>
        <c:axId val="105722624"/>
      </c:barChart>
      <c:catAx>
        <c:axId val="105716352"/>
        <c:scaling>
          <c:orientation val="minMax"/>
        </c:scaling>
        <c:delete val="1"/>
        <c:axPos val="b"/>
        <c:title>
          <c:tx>
            <c:rich>
              <a:bodyPr/>
              <a:lstStyle/>
              <a:p>
                <a:pPr>
                  <a:defRPr/>
                </a:pPr>
                <a:r>
                  <a:rPr lang="en-US"/>
                  <a:t>Clustering Coefficient</a:t>
                </a:r>
              </a:p>
            </c:rich>
          </c:tx>
          <c:layout>
            <c:manualLayout>
              <c:xMode val="edge"/>
              <c:yMode val="edge"/>
              <c:x val="0.33732726180312267"/>
              <c:y val="0.82619320971975252"/>
            </c:manualLayout>
          </c:layout>
        </c:title>
        <c:numFmt formatCode="#,##0.00" sourceLinked="1"/>
        <c:tickLblPos val="none"/>
        <c:crossAx val="105722624"/>
        <c:crosses val="autoZero"/>
        <c:auto val="1"/>
        <c:lblAlgn val="ctr"/>
        <c:lblOffset val="100"/>
      </c:catAx>
      <c:valAx>
        <c:axId val="105722624"/>
        <c:scaling>
          <c:orientation val="minMax"/>
        </c:scaling>
        <c:axPos val="l"/>
        <c:majorGridlines/>
        <c:title>
          <c:tx>
            <c:rich>
              <a:bodyPr rot="-5400000" vert="horz"/>
              <a:lstStyle/>
              <a:p>
                <a:pPr>
                  <a:defRPr/>
                </a:pPr>
                <a:r>
                  <a:rPr lang="en-US"/>
                  <a:t>Frequency</a:t>
                </a:r>
              </a:p>
            </c:rich>
          </c:tx>
        </c:title>
        <c:numFmt formatCode="General" sourceLinked="1"/>
        <c:tickLblPos val="nextTo"/>
        <c:crossAx val="105716352"/>
        <c:crosses val="autoZero"/>
        <c:crossBetween val="between"/>
      </c:valAx>
    </c:plotArea>
  </c:chart>
  <c:printSettings>
    <c:headerFooter/>
    <c:pageMargins b="0.75000000000000788" l="0.70000000000000062" r="0.70000000000000062" t="0.75000000000000788"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en-US"/>
  <c:chart>
    <c:autoTitleDeleted val="1"/>
    <c:plotArea>
      <c:layout/>
      <c:barChart>
        <c:barDir val="col"/>
        <c:grouping val="clustered"/>
        <c:ser>
          <c:idx val="1"/>
          <c:order val="0"/>
          <c:tx>
            <c:strRef>
              <c:f>'Overall Metrics'!$R$2</c:f>
              <c:strCache>
                <c:ptCount val="1"/>
                <c:pt idx="0">
                  <c:v>0</c:v>
                </c:pt>
              </c:strCache>
            </c:strRef>
          </c:tx>
          <c:spPr>
            <a:solidFill>
              <a:schemeClr val="accent1"/>
            </a:solidFill>
          </c:spPr>
          <c:cat>
            <c:numRef>
              <c:f>'Overall Metrics'!$S$2:$S$45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Metrics'!$R$2:$R$45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759488"/>
        <c:axId val="105761408"/>
      </c:barChart>
      <c:catAx>
        <c:axId val="105759488"/>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title>
        <c:numFmt formatCode="#,##0.00" sourceLinked="1"/>
        <c:tickLblPos val="none"/>
        <c:crossAx val="105761408"/>
        <c:crosses val="autoZero"/>
        <c:auto val="1"/>
        <c:lblAlgn val="ctr"/>
        <c:lblOffset val="100"/>
      </c:catAx>
      <c:valAx>
        <c:axId val="105761408"/>
        <c:scaling>
          <c:orientation val="minMax"/>
        </c:scaling>
        <c:axPos val="l"/>
        <c:majorGridlines/>
        <c:title>
          <c:tx>
            <c:rich>
              <a:bodyPr rot="-5400000" vert="horz"/>
              <a:lstStyle/>
              <a:p>
                <a:pPr>
                  <a:defRPr/>
                </a:pPr>
                <a:r>
                  <a:rPr lang="en-US"/>
                  <a:t>Frequency</a:t>
                </a:r>
              </a:p>
            </c:rich>
          </c:tx>
        </c:title>
        <c:numFmt formatCode="General" sourceLinked="1"/>
        <c:tickLblPos val="nextTo"/>
        <c:crossAx val="105759488"/>
        <c:crosses val="autoZero"/>
        <c:crossBetween val="between"/>
      </c:valAx>
    </c:plotArea>
  </c:chart>
  <c:printSettings>
    <c:headerFooter/>
    <c:pageMargins b="0.7500000000000081" l="0.70000000000000062" r="0.70000000000000062" t="0.750000000000008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en-US"/>
  <c:chart>
    <c:autoTitleDeleted val="1"/>
    <c:plotArea>
      <c:layout>
        <c:manualLayout>
          <c:layoutTarget val="inner"/>
          <c:xMode val="edge"/>
          <c:yMode val="edge"/>
          <c:x val="2.7639579878386048E-3"/>
          <c:y val="8.0430855234004828E-3"/>
          <c:w val="0.99723592884222345"/>
          <c:h val="0.98391246548726286"/>
        </c:manualLayout>
      </c:layout>
      <c:barChart>
        <c:barDir val="col"/>
        <c:grouping val="clustered"/>
        <c:ser>
          <c:idx val="1"/>
          <c:order val="0"/>
          <c:tx>
            <c:strRef>
              <c:f>'Overall Metrics'!$V$2</c:f>
              <c:strCache>
                <c:ptCount val="1"/>
                <c:pt idx="0">
                  <c:v>#REF!</c:v>
                </c:pt>
              </c:strCache>
            </c:strRef>
          </c:tx>
          <c:spPr>
            <a:solidFill>
              <a:schemeClr val="accent1"/>
            </a:solidFill>
          </c:spPr>
          <c:cat>
            <c:numRef>
              <c:f>'Overall Metrics'!$U$2:$U$45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Metrics'!$V$2:$V$45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gapWidth val="0"/>
        <c:axId val="105831040"/>
        <c:axId val="102572416"/>
      </c:barChart>
      <c:catAx>
        <c:axId val="105831040"/>
        <c:scaling>
          <c:orientation val="minMax"/>
        </c:scaling>
        <c:delete val="1"/>
        <c:axPos val="b"/>
        <c:numFmt formatCode="#,##0.00" sourceLinked="1"/>
        <c:tickLblPos val="none"/>
        <c:crossAx val="102572416"/>
        <c:crosses val="autoZero"/>
        <c:auto val="1"/>
        <c:lblAlgn val="ctr"/>
        <c:lblOffset val="100"/>
      </c:catAx>
      <c:valAx>
        <c:axId val="102572416"/>
        <c:scaling>
          <c:orientation val="minMax"/>
        </c:scaling>
        <c:delete val="1"/>
        <c:axPos val="l"/>
        <c:numFmt formatCode="General" sourceLinked="1"/>
        <c:tickLblPos val="none"/>
        <c:crossAx val="105831040"/>
        <c:crosses val="autoZero"/>
        <c:crossBetween val="between"/>
      </c:valAx>
      <c:spPr>
        <a:solidFill>
          <a:schemeClr val="bg1">
            <a:lumMod val="85000"/>
          </a:schemeClr>
        </a:solidFill>
        <a:ln>
          <a:noFill/>
        </a:ln>
      </c:spPr>
    </c:plotArea>
  </c:chart>
  <c:spPr>
    <a:noFill/>
    <a:ln>
      <a:noFill/>
    </a:ln>
  </c:spPr>
  <c:printSettings>
    <c:headerFooter/>
    <c:pageMargins b="0.75000000000000833" l="0.70000000000000062" r="0.70000000000000062" t="0.7500000000000083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24</xdr:row>
      <xdr:rowOff>38100</xdr:rowOff>
    </xdr:from>
    <xdr:to>
      <xdr:col>1</xdr:col>
      <xdr:colOff>918209</xdr:colOff>
      <xdr:row>31</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38</xdr:row>
      <xdr:rowOff>38100</xdr:rowOff>
    </xdr:from>
    <xdr:to>
      <xdr:col>1</xdr:col>
      <xdr:colOff>918209</xdr:colOff>
      <xdr:row>45</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52</xdr:row>
      <xdr:rowOff>28575</xdr:rowOff>
    </xdr:from>
    <xdr:to>
      <xdr:col>1</xdr:col>
      <xdr:colOff>918209</xdr:colOff>
      <xdr:row>59</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66</xdr:row>
      <xdr:rowOff>9525</xdr:rowOff>
    </xdr:from>
    <xdr:to>
      <xdr:col>1</xdr:col>
      <xdr:colOff>918210</xdr:colOff>
      <xdr:row>73</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80</xdr:row>
      <xdr:rowOff>19050</xdr:rowOff>
    </xdr:from>
    <xdr:to>
      <xdr:col>2</xdr:col>
      <xdr:colOff>3810</xdr:colOff>
      <xdr:row>87</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94</xdr:row>
      <xdr:rowOff>19050</xdr:rowOff>
    </xdr:from>
    <xdr:to>
      <xdr:col>1</xdr:col>
      <xdr:colOff>918210</xdr:colOff>
      <xdr:row>101</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122</xdr:row>
      <xdr:rowOff>9525</xdr:rowOff>
    </xdr:from>
    <xdr:to>
      <xdr:col>1</xdr:col>
      <xdr:colOff>918210</xdr:colOff>
      <xdr:row>129</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108</xdr:row>
      <xdr:rowOff>0</xdr:rowOff>
    </xdr:from>
    <xdr:to>
      <xdr:col>1</xdr:col>
      <xdr:colOff>918210</xdr:colOff>
      <xdr:row>115</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15</xdr:col>
      <xdr:colOff>0</xdr:colOff>
      <xdr:row>1</xdr:row>
      <xdr:rowOff>0</xdr:rowOff>
    </xdr:from>
    <xdr:to>
      <xdr:col>20</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K3" totalsRowShown="0">
  <autoFilter ref="A2:K3">
    <filterColumn colId="3"/>
    <filterColumn colId="4"/>
    <filterColumn colId="5"/>
    <filterColumn colId="6"/>
    <filterColumn colId="7"/>
    <filterColumn colId="8"/>
    <filterColumn colId="9"/>
    <filterColumn colId="10"/>
  </autoFilter>
  <tableColumns count="11">
    <tableColumn id="1" name="Vertex 1" dataDxfId="70" dataCellStyle="NodeXL Required"/>
    <tableColumn id="2" name="Vertex 2" dataDxfId="69" dataCellStyle="NodeXL Required"/>
    <tableColumn id="3" name="Color" dataDxfId="68" dataCellStyle="NodeXL Visual Property"/>
    <tableColumn id="4" name="Width" dataDxfId="67" dataCellStyle="NodeXL Visual Property"/>
    <tableColumn id="11" name="Style" dataDxfId="66" dataCellStyle="NodeXL Visual Property"/>
    <tableColumn id="5" name="Opacity" dataDxfId="65" dataCellStyle="NodeXL Visual Property"/>
    <tableColumn id="6" name="Visibility" dataDxfId="64" dataCellStyle="NodeXL Visual Property"/>
    <tableColumn id="10" name="Label" dataDxfId="63" dataCellStyle="NodeXL Label"/>
    <tableColumn id="7" name="ID" dataDxfId="62" dataCellStyle="NodeXL Do Not Edit"/>
    <tableColumn id="9" name="Dynamic Filter" dataDxfId="61" dataCellStyle="NodeXL Do Not Edit"/>
    <tableColumn id="8" name="Add Your Own Columns Here" dataDxfId="60"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3" totalsRowShown="0" headerRowDxfId="59" dataDxfId="58">
  <autoFilter ref="A2:AB3">
    <filterColumn colId="1"/>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filterColumn colId="18"/>
    <filterColumn colId="19"/>
    <filterColumn colId="20"/>
    <filterColumn colId="21"/>
    <filterColumn colId="22"/>
    <filterColumn colId="23"/>
    <filterColumn colId="24"/>
    <filterColumn colId="25"/>
    <filterColumn colId="26"/>
    <filterColumn colId="27"/>
  </autoFilter>
  <tableColumns count="28">
    <tableColumn id="1" name="Vertex" dataDxfId="57" dataCellStyle="NodeXL Required"/>
    <tableColumn id="21" name="Degree" dataDxfId="56" dataCellStyle="NodeXL Graph Metric"/>
    <tableColumn id="22" name="In-Degree" dataDxfId="55" dataCellStyle="NodeXL Graph Metric"/>
    <tableColumn id="23" name="Out-Degree" dataDxfId="54" dataCellStyle="NodeXL Graph Metric"/>
    <tableColumn id="24" name="Betweenness Centrality" dataDxfId="53" dataCellStyle="NodeXL Graph Metric"/>
    <tableColumn id="25" name="Closeness Centrality" dataDxfId="52" dataCellStyle="NodeXL Graph Metric"/>
    <tableColumn id="26" name="Eigenvector Centrality" dataDxfId="51" dataCellStyle="NodeXL Graph Metric"/>
    <tableColumn id="15" name="PageRank" dataDxfId="50" dataCellStyle="NodeXL Graph Metric"/>
    <tableColumn id="27" name="Clustering Coefficient" dataDxfId="49" dataCellStyle="NodeXL Graph Metric"/>
    <tableColumn id="2" name="Color" dataDxfId="48" dataCellStyle="NodeXL Visual Property"/>
    <tableColumn id="5" name="Shape" dataDxfId="47" dataCellStyle="NodeXL Visual Property"/>
    <tableColumn id="6" name="Size" dataDxfId="46" dataCellStyle="NodeXL Visual Property"/>
    <tableColumn id="4" name="Opacity" dataDxfId="45" dataCellStyle="NodeXL Visual Property"/>
    <tableColumn id="7" name="Image File" dataDxfId="44" dataCellStyle="NodeXL Visual Property"/>
    <tableColumn id="3" name="Visibility" dataDxfId="43" dataCellStyle="NodeXL Visual Property"/>
    <tableColumn id="10" name="Label" dataDxfId="42" dataCellStyle="NodeXL Label"/>
    <tableColumn id="16" name="Label Fill Color" dataDxfId="41" dataCellStyle="NodeXL Label"/>
    <tableColumn id="9" name="Label Position" dataDxfId="40" dataCellStyle="NodeXL Label"/>
    <tableColumn id="8" name="Tooltip" dataDxfId="39" dataCellStyle="NodeXL Label"/>
    <tableColumn id="18" name="Layout Order" dataDxfId="38" dataCellStyle="NodeXL Layout"/>
    <tableColumn id="13" name="X" dataDxfId="37" dataCellStyle="NodeXL Layout"/>
    <tableColumn id="14" name="Y" dataDxfId="36" dataCellStyle="NodeXL Layout"/>
    <tableColumn id="12" name="Locked?" dataDxfId="35" dataCellStyle="NodeXL Layout"/>
    <tableColumn id="19" name="Polar R" dataDxfId="34" dataCellStyle="NodeXL Layout"/>
    <tableColumn id="20" name="Polar Angle" dataDxfId="33" dataCellStyle="NodeXL Layout"/>
    <tableColumn id="11" name="ID" dataDxfId="32" dataCellStyle="NodeXL Do Not Edit"/>
    <tableColumn id="28" name="Dynamic Filter" dataDxfId="31" dataCellStyle="NodeXL Do Not Edit"/>
    <tableColumn id="17" name="Add Your Own Columns Here" dataDxfId="30"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Clusters" displayName="Clusters" ref="A1:C2" totalsRowShown="0">
  <autoFilter ref="A1:C2">
    <filterColumn colId="1"/>
    <filterColumn colId="2"/>
  </autoFilter>
  <tableColumns count="3">
    <tableColumn id="1" name="Cluster" dataDxfId="29"/>
    <tableColumn id="2" name="Vertex Color" dataDxfId="28"/>
    <tableColumn id="3" name="Vertex Shape" dataDxfId="27"/>
  </tableColumns>
  <tableStyleInfo name="TableStyleMedium9" showFirstColumn="0" showLastColumn="0" showRowStripes="1" showColumnStripes="0"/>
</table>
</file>

<file path=xl/tables/table4.xml><?xml version="1.0" encoding="utf-8"?>
<table xmlns="http://schemas.openxmlformats.org/spreadsheetml/2006/main" id="5" name="ClusterVertices" displayName="ClusterVertices" ref="A1:B2" totalsRowShown="0" headerRowDxfId="26" dataDxfId="25">
  <autoFilter ref="A1:B2"/>
  <tableColumns count="2">
    <tableColumn id="1" name="Cluster" dataDxfId="24"/>
    <tableColumn id="2" name="Vertex" dataDxfId="23"/>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C22" totalsRowShown="0" dataCellStyle="NodeXL Graph Metric">
  <autoFilter ref="A1:C22">
    <filterColumn colId="2"/>
  </autoFilter>
  <tableColumns count="3">
    <tableColumn id="1" name="Metric" dataDxfId="22" dataCellStyle="NodeXL Graph Metric"/>
    <tableColumn id="2" name="Value" dataDxfId="21" dataCellStyle="NodeXL Graph Metric"/>
    <tableColumn id="3" name="Comments"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E1:V45" totalsRowShown="0">
  <autoFilter ref="E1:V45">
    <filterColumn colId="2"/>
    <filterColumn colId="3"/>
    <filterColumn colId="4"/>
    <filterColumn colId="5"/>
    <filterColumn colId="6"/>
    <filterColumn colId="7"/>
    <filterColumn colId="8"/>
    <filterColumn colId="9"/>
    <filterColumn colId="10"/>
    <filterColumn colId="11"/>
    <filterColumn colId="12"/>
    <filterColumn colId="13"/>
    <filterColumn colId="14"/>
    <filterColumn colId="15"/>
    <filterColumn colId="16"/>
    <filterColumn colId="17"/>
  </autoFilter>
  <tableColumns count="18">
    <tableColumn id="1" name="Degree Bin" dataDxfId="19"/>
    <tableColumn id="2" name="Degree Frequency" dataDxfId="18">
      <calculatedColumnFormula>COUNTIF(Vertices[Degree], "&gt;= " &amp; E2) - COUNTIF(Vertices[Degree], "&gt;=" &amp; E3)</calculatedColumnFormula>
    </tableColumn>
    <tableColumn id="3" name="In-Degree Bin" dataDxfId="17"/>
    <tableColumn id="4" name="In-Degree Frequency" dataDxfId="16">
      <calculatedColumnFormula>COUNTIF(Vertices[In-Degree], "&gt;= " &amp; G2) - COUNTIF(Vertices[In-Degree], "&gt;=" &amp; G3)</calculatedColumnFormula>
    </tableColumn>
    <tableColumn id="5" name="Out-Degree Bin" dataDxfId="15"/>
    <tableColumn id="6" name="Out-Degree Frequency" dataDxfId="14">
      <calculatedColumnFormula>COUNTIF(Vertices[Out-Degree], "&gt;= " &amp; I2) - COUNTIF(Vertices[Out-Degree], "&gt;=" &amp; I3)</calculatedColumnFormula>
    </tableColumn>
    <tableColumn id="7" name="Betweenness Centrality Bin" dataDxfId="13"/>
    <tableColumn id="8" name="Betweenness Centrality Frequency" dataDxfId="12">
      <calculatedColumnFormula>COUNTIF(Vertices[Betweenness Centrality], "&gt;= " &amp; K2) - COUNTIF(Vertices[Betweenness Centrality], "&gt;=" &amp; K3)</calculatedColumnFormula>
    </tableColumn>
    <tableColumn id="9" name="Closeness Centrality Bin" dataDxfId="11"/>
    <tableColumn id="10" name="Closeness Centrality Frequency" dataDxfId="10">
      <calculatedColumnFormula>COUNTIF(Vertices[Closeness Centrality], "&gt;= " &amp; M2) - COUNTIF(Vertices[Closeness Centrality], "&gt;=" &amp; M3)</calculatedColumnFormula>
    </tableColumn>
    <tableColumn id="11" name="Eigenvector Centrality Bin" dataDxfId="9"/>
    <tableColumn id="12" name="Eigenvector Centrality Frequency" dataDxfId="8">
      <calculatedColumnFormula>COUNTIF(Vertices[Eigenvector Centrality], "&gt;= " &amp; O2) - COUNTIF(Vertices[Eigenvector Centrality], "&gt;=" &amp; O3)</calculatedColumnFormula>
    </tableColumn>
    <tableColumn id="18" name="PageRank Bin" dataDxfId="7"/>
    <tableColumn id="17" name="PageRank Frequency" dataDxfId="6">
      <calculatedColumnFormula>COUNTIF(Vertices[Eigenvector Centrality], "&gt;= " &amp; Q2) - COUNTIF(Vertices[Eigenvector Centrality], "&gt;=" &amp; Q3)</calculatedColumnFormula>
    </tableColumn>
    <tableColumn id="13" name="Clustering Coefficient Bin" dataDxfId="5"/>
    <tableColumn id="14" name="Clustering Coefficient Frequency" dataDxfId="4">
      <calculatedColumnFormula>COUNTIF(Vertices[Clustering Coefficient], "&gt;= " &amp; S2) - COUNTIF(Vertices[Clustering Coefficient], "&gt;=" &amp; S3)</calculatedColumnFormula>
    </tableColumn>
    <tableColumn id="15" name="Dynamic Filter Bin" dataDxfId="3"/>
    <tableColumn id="16" name="Dynamic Filter Frequency" dataDxfId="2">
      <calculatedColumnFormula>COUNTIF(Vertices[Clustering Coefficient], "&gt;= " &amp; U2) - COUNTIF(Vertices[Clustering Coefficient], "&gt;=" &amp; U3)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X1:Y4" totalsRowShown="0">
  <autoFilter ref="X1:Y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7" name="PerWorkbookSettings" displayName="PerWorkbookSettings" ref="H1:I15" totalsRowShown="0" headerRowDxfId="1">
  <autoFilter ref="H1:I15"/>
  <tableColumns count="2">
    <tableColumn id="1" name="Per-Workbook Setting"/>
    <tableColumn id="2" name="Value"/>
  </tableColumns>
  <tableStyleInfo name="TableStyleMedium9" showFirstColumn="0" showLastColumn="0" showRowStripes="1" showColumnStripes="0"/>
</table>
</file>

<file path=xl/tables/table9.xml><?xml version="1.0" encoding="utf-8"?>
<table xmlns="http://schemas.openxmlformats.org/spreadsheetml/2006/main" id="8" name="DynamicFilterSettings" displayName="DynamicFilterSettings" ref="K1:N2" totalsRowShown="0" headerRowDxfId="0">
  <autoFilter ref="K1:N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table" Target="../tables/table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comments" Target="../comments5.xml"/><Relationship Id="rId2" Type="http://schemas.openxmlformats.org/officeDocument/2006/relationships/drawing" Target="../drawings/drawing1.xml"/><Relationship Id="rId1" Type="http://schemas.openxmlformats.org/officeDocument/2006/relationships/printerSettings" Target="../printerSettings/printerSettings5.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sheet1.xml><?xml version="1.0" encoding="utf-8"?>
<worksheet xmlns="http://schemas.openxmlformats.org/spreadsheetml/2006/main" xmlns:r="http://schemas.openxmlformats.org/officeDocument/2006/relationships">
  <sheetPr codeName="Sheet1"/>
  <dimension ref="A1:L23"/>
  <sheetViews>
    <sheetView tabSelected="1" workbookViewId="0">
      <pane xSplit="2" ySplit="2" topLeftCell="C3" activePane="bottomRight" state="frozen"/>
      <selection pane="topRight" activeCell="C1" sqref="C1"/>
      <selection pane="bottomLeft" activeCell="A3" sqref="A3"/>
      <selection pane="bottomRight" activeCell="A3" sqref="A3"/>
    </sheetView>
  </sheetViews>
  <sheetFormatPr defaultRowHeight="1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7.85546875" style="1" customWidth="1"/>
    <col min="9" max="9" width="5" style="3" hidden="1" customWidth="1"/>
    <col min="10" max="10" width="16" style="3" hidden="1" customWidth="1"/>
    <col min="11" max="11" width="29.28515625" bestFit="1" customWidth="1"/>
    <col min="12" max="13" width="9.140625" customWidth="1"/>
  </cols>
  <sheetData>
    <row r="1" spans="1:11">
      <c r="C1" s="30" t="s">
        <v>50</v>
      </c>
      <c r="D1" s="31"/>
      <c r="E1" s="31"/>
      <c r="F1" s="31"/>
      <c r="G1" s="30"/>
      <c r="H1" s="27" t="s">
        <v>57</v>
      </c>
      <c r="I1" s="32" t="s">
        <v>51</v>
      </c>
      <c r="J1" s="32"/>
      <c r="K1" s="29" t="s">
        <v>52</v>
      </c>
    </row>
    <row r="2" spans="1:11">
      <c r="A2" s="1" t="s">
        <v>0</v>
      </c>
      <c r="B2" s="1" t="s">
        <v>1</v>
      </c>
      <c r="C2" t="s">
        <v>2</v>
      </c>
      <c r="D2" t="s">
        <v>3</v>
      </c>
      <c r="E2" t="s">
        <v>146</v>
      </c>
      <c r="F2" t="s">
        <v>4</v>
      </c>
      <c r="G2" t="s">
        <v>11</v>
      </c>
      <c r="H2" s="1" t="s">
        <v>57</v>
      </c>
      <c r="I2" t="s">
        <v>12</v>
      </c>
      <c r="J2" t="s">
        <v>47</v>
      </c>
      <c r="K2" t="s">
        <v>28</v>
      </c>
    </row>
    <row r="3" spans="1:11" ht="15" customHeight="1">
      <c r="A3" s="17"/>
      <c r="B3" s="17"/>
      <c r="C3" s="18"/>
      <c r="D3" s="19"/>
      <c r="E3" s="18"/>
      <c r="F3" s="20"/>
      <c r="G3" s="18"/>
      <c r="H3" s="27"/>
      <c r="I3" s="15"/>
      <c r="J3" s="15"/>
      <c r="K3" s="16"/>
    </row>
    <row r="4" spans="1:11" ht="15" customHeight="1"/>
    <row r="23" spans="12:12">
      <c r="L23" s="7"/>
    </row>
  </sheetData>
  <dataConsolidate/>
  <dataValidations count="11">
    <dataValidation allowBlank="1" showInputMessage="1" promptTitle="Edge Color" prompt="To select an optional edge color, right-click and select Select Color on the right-click menu." sqref="C3"/>
    <dataValidation allowBlank="1" showInputMessage="1" errorTitle="Invalid Edge Width" error="The optional edge width must be a whole number between 1 and 10." promptTitle="Edge Width" prompt="Enter an optional edge width between 1 and 10." sqref="D3"/>
    <dataValidation allowBlank="1" showInputMessage="1" errorTitle="Invalid Edge Opacity" error="The optional edge opacity must be a whole number between 0 and 10." promptTitle="Edge Opacity" prompt="Enter an optional edge opacity between 0 (transparent) and 100 (opaque)." sqref="F3"/>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
      <formula1>ValidEdgeVisibilities</formula1>
    </dataValidation>
    <dataValidation allowBlank="1" showInputMessage="1" showErrorMessage="1" promptTitle="Vertex 1 Name" prompt="Enter the name of the edge's first vertex." sqref="A3"/>
    <dataValidation allowBlank="1" showInputMessage="1" showErrorMessage="1" promptTitle="Vertex 2 Name" prompt="Enter the name of the edge's second vertex." sqref="B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I3"/>
    <dataValidation allowBlank="1" showErrorMessage="1" sqref="K2 K3"/>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J3"/>
    <dataValidation allowBlank="1" showInputMessage="1" showErrorMessage="1" errorTitle="Invalid Edge Visibility" error="You have entered an unrecognized edge visibility.  Try selecting from the drop-down list instead." promptTitle="Edge Label" prompt="Enter an optional edge label." sqref="H3"/>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AD3"/>
  <sheetViews>
    <sheetView workbookViewId="0">
      <pane xSplit="1" ySplit="2" topLeftCell="B3" activePane="bottomRight" state="frozen"/>
      <selection pane="topRight" activeCell="B1" sqref="B1"/>
      <selection pane="bottomLeft" activeCell="A3" sqref="A3"/>
      <selection pane="bottomRight" activeCell="A3" sqref="A3"/>
    </sheetView>
  </sheetViews>
  <sheetFormatPr defaultRowHeight="1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c r="B1" s="36" t="s">
        <v>53</v>
      </c>
      <c r="C1" s="33"/>
      <c r="D1" s="34"/>
      <c r="E1" s="35"/>
      <c r="F1" s="33"/>
      <c r="G1" s="33"/>
      <c r="H1" s="33"/>
      <c r="I1" s="33"/>
      <c r="J1" s="37" t="s">
        <v>50</v>
      </c>
      <c r="K1" s="30"/>
      <c r="L1" s="30"/>
      <c r="M1" s="30"/>
      <c r="N1" s="30"/>
      <c r="O1" s="30"/>
      <c r="P1" s="39" t="s">
        <v>54</v>
      </c>
      <c r="Q1" s="38"/>
      <c r="R1" s="38"/>
      <c r="S1" s="38"/>
      <c r="T1" s="41" t="s">
        <v>55</v>
      </c>
      <c r="U1" s="40"/>
      <c r="V1" s="40"/>
      <c r="W1" s="40"/>
      <c r="X1" s="40"/>
      <c r="Y1" s="40"/>
      <c r="Z1" s="42" t="s">
        <v>51</v>
      </c>
      <c r="AA1" s="32"/>
      <c r="AB1" s="43" t="s">
        <v>52</v>
      </c>
    </row>
    <row r="2" spans="1:30" ht="30" customHeight="1">
      <c r="A2" s="11" t="s">
        <v>5</v>
      </c>
      <c r="B2" s="14" t="s">
        <v>35</v>
      </c>
      <c r="C2" s="14" t="s">
        <v>36</v>
      </c>
      <c r="D2" s="14" t="s">
        <v>37</v>
      </c>
      <c r="E2" s="14" t="s">
        <v>38</v>
      </c>
      <c r="F2" s="14" t="s">
        <v>39</v>
      </c>
      <c r="G2" s="14" t="s">
        <v>40</v>
      </c>
      <c r="H2" s="14" t="s">
        <v>153</v>
      </c>
      <c r="I2" s="14" t="s">
        <v>41</v>
      </c>
      <c r="J2" s="8" t="s">
        <v>2</v>
      </c>
      <c r="K2" s="8" t="s">
        <v>8</v>
      </c>
      <c r="L2" s="9" t="s">
        <v>56</v>
      </c>
      <c r="M2" s="10" t="s">
        <v>4</v>
      </c>
      <c r="N2" s="8" t="s">
        <v>59</v>
      </c>
      <c r="O2" s="8" t="s">
        <v>11</v>
      </c>
      <c r="P2" s="8" t="s">
        <v>57</v>
      </c>
      <c r="Q2" s="8" t="s">
        <v>58</v>
      </c>
      <c r="R2" s="8" t="s">
        <v>88</v>
      </c>
      <c r="S2" s="8" t="s">
        <v>10</v>
      </c>
      <c r="T2" s="8" t="s">
        <v>29</v>
      </c>
      <c r="U2" s="8" t="s">
        <v>15</v>
      </c>
      <c r="V2" s="8" t="s">
        <v>16</v>
      </c>
      <c r="W2" s="8" t="s">
        <v>13</v>
      </c>
      <c r="X2" s="8" t="s">
        <v>30</v>
      </c>
      <c r="Y2" s="8" t="s">
        <v>31</v>
      </c>
      <c r="Z2" s="11" t="s">
        <v>12</v>
      </c>
      <c r="AA2" s="11" t="s">
        <v>47</v>
      </c>
      <c r="AB2" s="8" t="s">
        <v>28</v>
      </c>
      <c r="AC2" s="3"/>
      <c r="AD2" s="3"/>
    </row>
    <row r="3" spans="1:30" ht="15" customHeight="1">
      <c r="A3" s="17"/>
      <c r="B3" s="21"/>
      <c r="C3" s="21"/>
      <c r="D3" s="21"/>
      <c r="E3" s="21"/>
      <c r="F3" s="22"/>
      <c r="G3" s="22"/>
      <c r="H3" s="22"/>
      <c r="I3" s="22"/>
      <c r="J3" s="18"/>
      <c r="K3" s="18"/>
      <c r="L3" s="19"/>
      <c r="M3" s="20"/>
      <c r="N3" s="18"/>
      <c r="O3" s="18"/>
      <c r="P3" s="27"/>
      <c r="Q3" s="28"/>
      <c r="R3" s="28"/>
      <c r="S3" s="27"/>
      <c r="T3" s="23"/>
      <c r="U3" s="24"/>
      <c r="V3" s="24"/>
      <c r="W3" s="25"/>
      <c r="X3" s="26"/>
      <c r="Y3" s="26"/>
      <c r="Z3" s="15"/>
      <c r="AA3" s="15"/>
      <c r="AB3" s="16"/>
      <c r="AC3" s="3"/>
      <c r="AD3" s="3"/>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
    <dataValidation allowBlank="1" showInputMessage="1" errorTitle="Invalid Vertex Image Key" promptTitle="Vertex Tooltip" prompt="Enter optional text that will pop up when the mouse is hovered over the vertex." sqref="S3"/>
    <dataValidation allowBlank="1" errorTitle="Invalid Vertex Visibility" error="You have entered an unrecognized vertex visibility.  Try selecting from the drop-down list instead." promptTitle="Vertex ID" prompt="This is a unique ID that gets filled in automatically.  Do not edit this column." sqref="AA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
    <dataValidation allowBlank="1" showInputMessage="1" promptTitle="Vertex Label Fill Color" prompt="To select an optional fill color for the Label shape, right-click and select Select Color on the right-click menu." sqref="Q3"/>
    <dataValidation allowBlank="1" showInputMessage="1" errorTitle="Invalid Vertex Image Key" promptTitle="Image File" prompt="Enter the path to an image file.  Hover over the column header for examples." sqref="N3"/>
    <dataValidation allowBlank="1" showInputMessage="1" showErrorMessage="1" promptTitle="Vertex Name" prompt="Enter the name of the vertex." sqref="A3"/>
    <dataValidation allowBlank="1" showInputMessage="1" promptTitle="Vertex Color" prompt="To select an optional vertex color, right-click and select Select Color on the right-click menu." sqref="J3"/>
    <dataValidation allowBlank="1" showInputMessage="1" errorTitle="Invalid Vertex Opacity" error="The optional vertex opacity must be a whole number between 0 and 10." promptTitle="Vertex Opacity" prompt="Enter an optional vertex opacity between 0 (transparent) and 100 (opaque)." sqref="M3"/>
    <dataValidation type="list" allowBlank="1" showInputMessage="1" showErrorMessage="1" errorTitle="Unrecognized Vertex Shape" error="You have entered an unrecognized vertex shape.  Try selecting from the drop-down list instead." promptTitle="Vertex Shape" prompt="Select an optional vertex shape." sqref="K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sheetPr codeName="Sheet3"/>
  <dimension ref="A1:D21"/>
  <sheetViews>
    <sheetView workbookViewId="0"/>
  </sheetViews>
  <sheetFormatPr defaultRowHeight="15"/>
  <cols>
    <col min="1" max="1" width="10.85546875" style="3" bestFit="1" customWidth="1"/>
    <col min="2" max="2" width="16.85546875" style="3" bestFit="1" customWidth="1"/>
    <col min="4" max="5" width="9.140625" customWidth="1"/>
  </cols>
  <sheetData>
    <row r="1" spans="1:1">
      <c r="A1" s="3" t="s">
        <v>60</v>
      </c>
    </row>
    <row r="2" spans="1:1" ht="15" customHeight="1"/>
    <row r="3" spans="1:1" ht="15" customHeight="1">
      <c r="A3" s="44" t="s">
        <v>61</v>
      </c>
    </row>
    <row r="21" spans="4:4">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5"/>
  <dimension ref="A1:C9"/>
  <sheetViews>
    <sheetView workbookViewId="0">
      <selection activeCell="A2" sqref="A2"/>
    </sheetView>
  </sheetViews>
  <sheetFormatPr defaultRowHeight="15"/>
  <cols>
    <col min="1" max="1" width="9.42578125" style="1" bestFit="1" customWidth="1"/>
    <col min="2" max="2" width="14.28515625" bestFit="1" customWidth="1"/>
    <col min="3" max="3" width="15" bestFit="1" customWidth="1"/>
    <col min="5" max="5" width="9.140625" customWidth="1"/>
  </cols>
  <sheetData>
    <row r="1" spans="1:3">
      <c r="A1" s="1" t="s">
        <v>17</v>
      </c>
      <c r="B1" t="s">
        <v>23</v>
      </c>
      <c r="C1" t="s">
        <v>22</v>
      </c>
    </row>
    <row r="2" spans="1:3">
      <c r="B2" s="3"/>
      <c r="C2" s="3"/>
    </row>
    <row r="9" spans="1:3" ht="14.25" customHeight="1"/>
  </sheetData>
  <dataConsolidate/>
  <dataValidations count="3">
    <dataValidation allowBlank="1" showInputMessage="1" promptTitle="Vertex Color" prompt="To select a color to use for all vertices in the cluster, right-click and select Select Color on the right-click menu." sqref="B2"/>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cluster." sqref="C2">
      <formula1>ValidVertexShapes</formula1>
    </dataValidation>
    <dataValidation allowBlank="1" showInputMessage="1" showErrorMessage="1" promptTitle="Cluster Name" prompt="Enter the name of the cluster." sqref="A2"/>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sheetPr codeName="Sheet6"/>
  <dimension ref="A1:B1"/>
  <sheetViews>
    <sheetView workbookViewId="0">
      <selection activeCell="A2" sqref="A2"/>
    </sheetView>
  </sheetViews>
  <sheetFormatPr defaultRowHeight="15"/>
  <cols>
    <col min="1" max="1" width="9.42578125" style="1" bestFit="1" customWidth="1"/>
    <col min="2" max="2" width="9.140625" style="1"/>
    <col min="4" max="4" width="9.140625" customWidth="1"/>
  </cols>
  <sheetData>
    <row r="1" spans="1:2">
      <c r="A1" s="1" t="s">
        <v>17</v>
      </c>
      <c r="B1" s="1" t="s">
        <v>5</v>
      </c>
    </row>
  </sheetData>
  <dataConsolidate/>
  <dataValidations xWindow="58" yWindow="226" count="2">
    <dataValidation allowBlank="1" showInputMessage="1" showErrorMessage="1" promptTitle="Cluster Name" prompt="Enter the name of the cluster.  The cluster name must also be entered on the Clusters worksheet." sqref="A2"/>
    <dataValidation allowBlank="1" showInputMessage="1" showErrorMessage="1" promptTitle="Vertex Name" prompt="Enter the name of a vertex to include in this cluster." sqref="B2"/>
  </dataValidations>
  <pageMargins left="0.7" right="0.7" top="0.75" bottom="0.75" header="0.3" footer="0.3"/>
  <legacyDrawing r:id="rId1"/>
  <tableParts count="1">
    <tablePart r:id="rId2"/>
  </tableParts>
</worksheet>
</file>

<file path=xl/worksheets/sheet6.xml><?xml version="1.0" encoding="utf-8"?>
<worksheet xmlns="http://schemas.openxmlformats.org/spreadsheetml/2006/main" xmlns:r="http://schemas.openxmlformats.org/officeDocument/2006/relationships">
  <sheetPr codeName="Sheet7"/>
  <dimension ref="A1:Y134"/>
  <sheetViews>
    <sheetView workbookViewId="0">
      <selection activeCell="A2" sqref="A2"/>
    </sheetView>
  </sheetViews>
  <sheetFormatPr defaultRowHeight="15"/>
  <cols>
    <col min="1" max="1" width="43.140625" customWidth="1"/>
    <col min="2" max="2" width="13.85546875" customWidth="1"/>
    <col min="3" max="3" width="69.28515625" customWidth="1"/>
    <col min="4" max="4" width="9.140625" customWidth="1"/>
    <col min="5" max="5" width="12.85546875" hidden="1" customWidth="1"/>
    <col min="6" max="6" width="19.7109375" hidden="1" customWidth="1"/>
    <col min="7" max="7" width="15.5703125" hidden="1" customWidth="1"/>
    <col min="8" max="8" width="22.140625" hidden="1" customWidth="1"/>
    <col min="9" max="9" width="17.140625" hidden="1" customWidth="1"/>
    <col min="10" max="10" width="23.85546875" hidden="1" customWidth="1"/>
    <col min="11" max="11" width="28.28515625" hidden="1" customWidth="1"/>
    <col min="12" max="12" width="34.85546875" hidden="1" customWidth="1"/>
    <col min="13" max="13" width="25" hidden="1" customWidth="1"/>
    <col min="14" max="14" width="31.5703125" hidden="1" customWidth="1"/>
    <col min="15" max="15" width="26.5703125" hidden="1" customWidth="1"/>
    <col min="16" max="18" width="33.28515625" hidden="1" customWidth="1"/>
    <col min="19" max="19" width="26.5703125" hidden="1" customWidth="1"/>
    <col min="20" max="20" width="33" hidden="1" customWidth="1"/>
    <col min="21" max="21" width="19.5703125" hidden="1" customWidth="1"/>
    <col min="22" max="22" width="26.140625" hidden="1" customWidth="1"/>
    <col min="23" max="23" width="9.140625" hidden="1" customWidth="1"/>
    <col min="24" max="24" width="34.140625" hidden="1" customWidth="1"/>
    <col min="25" max="25" width="25.140625" hidden="1" customWidth="1"/>
  </cols>
  <sheetData>
    <row r="1" spans="1:25" ht="15" customHeight="1" thickBot="1">
      <c r="A1" s="14" t="s">
        <v>18</v>
      </c>
      <c r="B1" s="14" t="s">
        <v>19</v>
      </c>
      <c r="C1" t="s">
        <v>93</v>
      </c>
      <c r="E1" t="s">
        <v>94</v>
      </c>
      <c r="F1" t="s">
        <v>95</v>
      </c>
      <c r="G1" s="49" t="s">
        <v>102</v>
      </c>
      <c r="H1" s="50" t="s">
        <v>103</v>
      </c>
      <c r="I1" s="49" t="s">
        <v>108</v>
      </c>
      <c r="J1" s="50" t="s">
        <v>109</v>
      </c>
      <c r="K1" s="49" t="s">
        <v>114</v>
      </c>
      <c r="L1" s="50" t="s">
        <v>115</v>
      </c>
      <c r="M1" s="49" t="s">
        <v>120</v>
      </c>
      <c r="N1" s="50" t="s">
        <v>121</v>
      </c>
      <c r="O1" s="49" t="s">
        <v>126</v>
      </c>
      <c r="P1" s="50" t="s">
        <v>127</v>
      </c>
      <c r="Q1" s="50" t="s">
        <v>154</v>
      </c>
      <c r="R1" s="50" t="s">
        <v>155</v>
      </c>
      <c r="S1" s="49" t="s">
        <v>132</v>
      </c>
      <c r="T1" s="49" t="s">
        <v>133</v>
      </c>
      <c r="U1" s="49" t="s">
        <v>138</v>
      </c>
      <c r="V1" s="50" t="s">
        <v>139</v>
      </c>
      <c r="X1" t="s">
        <v>143</v>
      </c>
      <c r="Y1" t="s">
        <v>19</v>
      </c>
    </row>
    <row r="2" spans="1:25" ht="15.75" thickTop="1">
      <c r="A2" s="48"/>
      <c r="B2" s="48"/>
      <c r="C2" s="48"/>
      <c r="E2" s="45">
        <f>MIN(Vertices[Degree])</f>
        <v>0</v>
      </c>
      <c r="F2" s="3">
        <f>COUNTIF(Vertices[Degree], "&gt;= " &amp; E2) - COUNTIF(Vertices[Degree], "&gt;=" &amp; E3)</f>
        <v>0</v>
      </c>
      <c r="G2" s="51">
        <f>MIN(Vertices[In-Degree])</f>
        <v>0</v>
      </c>
      <c r="H2" s="52">
        <f>COUNTIF(Vertices[In-Degree], "&gt;= " &amp; G2) - COUNTIF(Vertices[In-Degree], "&gt;=" &amp; G3)</f>
        <v>0</v>
      </c>
      <c r="I2" s="51">
        <f>MIN(Vertices[Out-Degree])</f>
        <v>0</v>
      </c>
      <c r="J2" s="52">
        <f>COUNTIF(Vertices[Out-Degree], "&gt;= " &amp; I2) - COUNTIF(Vertices[Out-Degree], "&gt;=" &amp; I3)</f>
        <v>0</v>
      </c>
      <c r="K2" s="51">
        <f>MIN(Vertices[Betweenness Centrality])</f>
        <v>0</v>
      </c>
      <c r="L2" s="52">
        <f>COUNTIF(Vertices[Betweenness Centrality], "&gt;= " &amp; K2) - COUNTIF(Vertices[Betweenness Centrality], "&gt;=" &amp; K3)</f>
        <v>0</v>
      </c>
      <c r="M2" s="51">
        <f>MIN(Vertices[Closeness Centrality])</f>
        <v>0</v>
      </c>
      <c r="N2" s="52">
        <f>COUNTIF(Vertices[Closeness Centrality], "&gt;= " &amp; M2) - COUNTIF(Vertices[Closeness Centrality], "&gt;=" &amp; M3)</f>
        <v>0</v>
      </c>
      <c r="O2" s="51">
        <f>MIN(Vertices[Eigenvector Centrality])</f>
        <v>0</v>
      </c>
      <c r="P2" s="52">
        <f>COUNTIF(Vertices[Eigenvector Centrality], "&gt;= " &amp; O2) - COUNTIF(Vertices[Eigenvector Centrality], "&gt;=" &amp; O3)</f>
        <v>0</v>
      </c>
      <c r="Q2" s="51">
        <f>MIN(Vertices[PageRank])</f>
        <v>0</v>
      </c>
      <c r="R2" s="52">
        <f>COUNTIF(Vertices[PageRank], "&gt;= " &amp; Q2) - COUNTIF(Vertices[PageRank], "&gt;=" &amp; Q3)</f>
        <v>0</v>
      </c>
      <c r="S2" s="51">
        <f>MIN(Vertices[Clustering Coefficient])</f>
        <v>0</v>
      </c>
      <c r="T2" s="57">
        <f>COUNTIF(Vertices[Clustering Coefficient], "&gt;= " &amp; S2) - COUNTIF(Vertices[Clustering Coefficient], "&gt;=" &amp; S3)</f>
        <v>0</v>
      </c>
      <c r="U2" s="51" t="e">
        <f ca="1">MIN(INDIRECT(DynamicFilterSourceColumnRange))</f>
        <v>#REF!</v>
      </c>
      <c r="V2" s="52" t="e">
        <f t="shared" ref="V2:V45" ca="1" si="0">COUNTIF(INDIRECT(DynamicFilterSourceColumnRange), "&gt;= " &amp; U2) - COUNTIF(INDIRECT(DynamicFilterSourceColumnRange), "&gt;=" &amp; U3)</f>
        <v>#REF!</v>
      </c>
      <c r="X2" t="s">
        <v>140</v>
      </c>
      <c r="Y2">
        <f>ROWS(HistogramBins[Degree Bin]) - 1</f>
        <v>43</v>
      </c>
    </row>
    <row r="3" spans="1:25">
      <c r="A3" s="48"/>
      <c r="B3" s="48"/>
      <c r="C3" s="48"/>
      <c r="E3" s="46">
        <f t="shared" ref="E3:E44" si="1">E2+($E$45-$E$2)/BinDivisor</f>
        <v>0</v>
      </c>
      <c r="F3" s="3">
        <f>COUNTIF(Vertices[Degree], "&gt;= " &amp; E3) - COUNTIF(Vertices[Degree], "&gt;=" &amp; E4)</f>
        <v>0</v>
      </c>
      <c r="G3" s="53">
        <f t="shared" ref="G3:G44" si="2">G2+($G$45-$G$2)/BinDivisor</f>
        <v>0</v>
      </c>
      <c r="H3" s="54">
        <f>COUNTIF(Vertices[In-Degree], "&gt;= " &amp; G3) - COUNTIF(Vertices[In-Degree], "&gt;=" &amp; G4)</f>
        <v>0</v>
      </c>
      <c r="I3" s="53">
        <f t="shared" ref="I3:I44" si="3">I2+($I$45-$I$2)/BinDivisor</f>
        <v>0</v>
      </c>
      <c r="J3" s="54">
        <f>COUNTIF(Vertices[Out-Degree], "&gt;= " &amp; I3) - COUNTIF(Vertices[Out-Degree], "&gt;=" &amp; I4)</f>
        <v>0</v>
      </c>
      <c r="K3" s="53">
        <f t="shared" ref="K3:K44" si="4">K2+($K$45-$K$2)/BinDivisor</f>
        <v>0</v>
      </c>
      <c r="L3" s="54">
        <f>COUNTIF(Vertices[Betweenness Centrality], "&gt;= " &amp; K3) - COUNTIF(Vertices[Betweenness Centrality], "&gt;=" &amp; K4)</f>
        <v>0</v>
      </c>
      <c r="M3" s="53">
        <f t="shared" ref="M3:M44" si="5">M2+($M$45-$M$2)/BinDivisor</f>
        <v>0</v>
      </c>
      <c r="N3" s="54">
        <f>COUNTIF(Vertices[Closeness Centrality], "&gt;= " &amp; M3) - COUNTIF(Vertices[Closeness Centrality], "&gt;=" &amp; M4)</f>
        <v>0</v>
      </c>
      <c r="O3" s="53">
        <f t="shared" ref="O3:O44" si="6">O2+($O$45-$O$2)/BinDivisor</f>
        <v>0</v>
      </c>
      <c r="P3" s="54">
        <f>COUNTIF(Vertices[Eigenvector Centrality], "&gt;= " &amp; O3) - COUNTIF(Vertices[Eigenvector Centrality], "&gt;=" &amp; O4)</f>
        <v>0</v>
      </c>
      <c r="Q3" s="53">
        <f t="shared" ref="Q3:Q44" si="7">Q2+($Q$45-$Q$2)/BinDivisor</f>
        <v>0</v>
      </c>
      <c r="R3" s="54">
        <f>COUNTIF(Vertices[PageRank], "&gt;= " &amp; Q3) - COUNTIF(Vertices[PageRank], "&gt;=" &amp; Q4)</f>
        <v>0</v>
      </c>
      <c r="S3" s="53">
        <f t="shared" ref="S3:S44" si="8">S2+($S$45-$S$2)/BinDivisor</f>
        <v>0</v>
      </c>
      <c r="T3" s="58">
        <f>COUNTIF(Vertices[Clustering Coefficient], "&gt;= " &amp; S3) - COUNTIF(Vertices[Clustering Coefficient], "&gt;=" &amp; S4)</f>
        <v>0</v>
      </c>
      <c r="U3" s="53" t="e">
        <f t="shared" ref="U3:U44" ca="1" si="9">U2+($U$45-$U$2)/BinDivisor</f>
        <v>#REF!</v>
      </c>
      <c r="V3" s="54" t="e">
        <f t="shared" ca="1" si="0"/>
        <v>#REF!</v>
      </c>
      <c r="X3" t="s">
        <v>141</v>
      </c>
      <c r="Y3" t="s">
        <v>100</v>
      </c>
    </row>
    <row r="4" spans="1:25">
      <c r="A4" s="48"/>
      <c r="B4" s="48"/>
      <c r="C4" s="48"/>
      <c r="E4" s="46">
        <f t="shared" si="1"/>
        <v>0</v>
      </c>
      <c r="F4" s="3">
        <f>COUNTIF(Vertices[Degree], "&gt;= " &amp; E4) - COUNTIF(Vertices[Degree], "&gt;=" &amp; E5)</f>
        <v>0</v>
      </c>
      <c r="G4" s="51">
        <f t="shared" si="2"/>
        <v>0</v>
      </c>
      <c r="H4" s="52">
        <f>COUNTIF(Vertices[In-Degree], "&gt;= " &amp; G4) - COUNTIF(Vertices[In-Degree], "&gt;=" &amp; G5)</f>
        <v>0</v>
      </c>
      <c r="I4" s="51">
        <f t="shared" si="3"/>
        <v>0</v>
      </c>
      <c r="J4" s="52">
        <f>COUNTIF(Vertices[Out-Degree], "&gt;= " &amp; I4) - COUNTIF(Vertices[Out-Degree], "&gt;=" &amp; I5)</f>
        <v>0</v>
      </c>
      <c r="K4" s="51">
        <f t="shared" si="4"/>
        <v>0</v>
      </c>
      <c r="L4" s="52">
        <f>COUNTIF(Vertices[Betweenness Centrality], "&gt;= " &amp; K4) - COUNTIF(Vertices[Betweenness Centrality], "&gt;=" &amp; K5)</f>
        <v>0</v>
      </c>
      <c r="M4" s="51">
        <f t="shared" si="5"/>
        <v>0</v>
      </c>
      <c r="N4" s="52">
        <f>COUNTIF(Vertices[Closeness Centrality], "&gt;= " &amp; M4) - COUNTIF(Vertices[Closeness Centrality], "&gt;=" &amp; M5)</f>
        <v>0</v>
      </c>
      <c r="O4" s="51">
        <f t="shared" si="6"/>
        <v>0</v>
      </c>
      <c r="P4" s="52">
        <f>COUNTIF(Vertices[Eigenvector Centrality], "&gt;= " &amp; O4) - COUNTIF(Vertices[Eigenvector Centrality], "&gt;=" &amp; O5)</f>
        <v>0</v>
      </c>
      <c r="Q4" s="51">
        <f t="shared" si="7"/>
        <v>0</v>
      </c>
      <c r="R4" s="52">
        <f>COUNTIF(Vertices[PageRank], "&gt;= " &amp; Q4) - COUNTIF(Vertices[PageRank], "&gt;=" &amp; Q5)</f>
        <v>0</v>
      </c>
      <c r="S4" s="51">
        <f t="shared" si="8"/>
        <v>0</v>
      </c>
      <c r="T4" s="57">
        <f>COUNTIF(Vertices[Clustering Coefficient], "&gt;= " &amp; S4) - COUNTIF(Vertices[Clustering Coefficient], "&gt;=" &amp; S5)</f>
        <v>0</v>
      </c>
      <c r="U4" s="51" t="e">
        <f t="shared" ca="1" si="9"/>
        <v>#REF!</v>
      </c>
      <c r="V4" s="52" t="e">
        <f t="shared" ca="1" si="0"/>
        <v>#REF!</v>
      </c>
      <c r="X4" s="12" t="s">
        <v>142</v>
      </c>
      <c r="Y4" s="12" t="s">
        <v>144</v>
      </c>
    </row>
    <row r="5" spans="1:25">
      <c r="A5" s="48"/>
      <c r="B5" s="48"/>
      <c r="C5" s="48"/>
      <c r="E5" s="46">
        <f t="shared" si="1"/>
        <v>0</v>
      </c>
      <c r="F5" s="3">
        <f>COUNTIF(Vertices[Degree], "&gt;= " &amp; E5) - COUNTIF(Vertices[Degree], "&gt;=" &amp; E6)</f>
        <v>0</v>
      </c>
      <c r="G5" s="53">
        <f t="shared" si="2"/>
        <v>0</v>
      </c>
      <c r="H5" s="54">
        <f>COUNTIF(Vertices[In-Degree], "&gt;= " &amp; G5) - COUNTIF(Vertices[In-Degree], "&gt;=" &amp; G6)</f>
        <v>0</v>
      </c>
      <c r="I5" s="53">
        <f t="shared" si="3"/>
        <v>0</v>
      </c>
      <c r="J5" s="54">
        <f>COUNTIF(Vertices[Out-Degree], "&gt;= " &amp; I5) - COUNTIF(Vertices[Out-Degree], "&gt;=" &amp; I6)</f>
        <v>0</v>
      </c>
      <c r="K5" s="53">
        <f t="shared" si="4"/>
        <v>0</v>
      </c>
      <c r="L5" s="54">
        <f>COUNTIF(Vertices[Betweenness Centrality], "&gt;= " &amp; K5) - COUNTIF(Vertices[Betweenness Centrality], "&gt;=" &amp; K6)</f>
        <v>0</v>
      </c>
      <c r="M5" s="53">
        <f t="shared" si="5"/>
        <v>0</v>
      </c>
      <c r="N5" s="54">
        <f>COUNTIF(Vertices[Closeness Centrality], "&gt;= " &amp; M5) - COUNTIF(Vertices[Closeness Centrality], "&gt;=" &amp; M6)</f>
        <v>0</v>
      </c>
      <c r="O5" s="53">
        <f t="shared" si="6"/>
        <v>0</v>
      </c>
      <c r="P5" s="54">
        <f>COUNTIF(Vertices[Eigenvector Centrality], "&gt;= " &amp; O5) - COUNTIF(Vertices[Eigenvector Centrality], "&gt;=" &amp; O6)</f>
        <v>0</v>
      </c>
      <c r="Q5" s="53">
        <f t="shared" si="7"/>
        <v>0</v>
      </c>
      <c r="R5" s="54">
        <f>COUNTIF(Vertices[PageRank], "&gt;= " &amp; Q5) - COUNTIF(Vertices[PageRank], "&gt;=" &amp; Q6)</f>
        <v>0</v>
      </c>
      <c r="S5" s="53">
        <f t="shared" si="8"/>
        <v>0</v>
      </c>
      <c r="T5" s="58">
        <f>COUNTIF(Vertices[Clustering Coefficient], "&gt;= " &amp; S5) - COUNTIF(Vertices[Clustering Coefficient], "&gt;=" &amp; S6)</f>
        <v>0</v>
      </c>
      <c r="U5" s="53" t="e">
        <f t="shared" ca="1" si="9"/>
        <v>#REF!</v>
      </c>
      <c r="V5" s="54" t="e">
        <f t="shared" ca="1" si="0"/>
        <v>#REF!</v>
      </c>
    </row>
    <row r="6" spans="1:25">
      <c r="A6" s="48"/>
      <c r="B6" s="48"/>
      <c r="C6" s="48"/>
      <c r="E6" s="46">
        <f t="shared" si="1"/>
        <v>0</v>
      </c>
      <c r="F6" s="3">
        <f>COUNTIF(Vertices[Degree], "&gt;= " &amp; E6) - COUNTIF(Vertices[Degree], "&gt;=" &amp; E7)</f>
        <v>0</v>
      </c>
      <c r="G6" s="51">
        <f t="shared" si="2"/>
        <v>0</v>
      </c>
      <c r="H6" s="52">
        <f>COUNTIF(Vertices[In-Degree], "&gt;= " &amp; G6) - COUNTIF(Vertices[In-Degree], "&gt;=" &amp; G7)</f>
        <v>0</v>
      </c>
      <c r="I6" s="51">
        <f t="shared" si="3"/>
        <v>0</v>
      </c>
      <c r="J6" s="52">
        <f>COUNTIF(Vertices[Out-Degree], "&gt;= " &amp; I6) - COUNTIF(Vertices[Out-Degree], "&gt;=" &amp; I7)</f>
        <v>0</v>
      </c>
      <c r="K6" s="51">
        <f t="shared" si="4"/>
        <v>0</v>
      </c>
      <c r="L6" s="52">
        <f>COUNTIF(Vertices[Betweenness Centrality], "&gt;= " &amp; K6) - COUNTIF(Vertices[Betweenness Centrality], "&gt;=" &amp; K7)</f>
        <v>0</v>
      </c>
      <c r="M6" s="51">
        <f t="shared" si="5"/>
        <v>0</v>
      </c>
      <c r="N6" s="52">
        <f>COUNTIF(Vertices[Closeness Centrality], "&gt;= " &amp; M6) - COUNTIF(Vertices[Closeness Centrality], "&gt;=" &amp; M7)</f>
        <v>0</v>
      </c>
      <c r="O6" s="51">
        <f t="shared" si="6"/>
        <v>0</v>
      </c>
      <c r="P6" s="52">
        <f>COUNTIF(Vertices[Eigenvector Centrality], "&gt;= " &amp; O6) - COUNTIF(Vertices[Eigenvector Centrality], "&gt;=" &amp; O7)</f>
        <v>0</v>
      </c>
      <c r="Q6" s="51">
        <f t="shared" si="7"/>
        <v>0</v>
      </c>
      <c r="R6" s="52">
        <f>COUNTIF(Vertices[PageRank], "&gt;= " &amp; Q6) - COUNTIF(Vertices[PageRank], "&gt;=" &amp; Q7)</f>
        <v>0</v>
      </c>
      <c r="S6" s="51">
        <f t="shared" si="8"/>
        <v>0</v>
      </c>
      <c r="T6" s="57">
        <f>COUNTIF(Vertices[Clustering Coefficient], "&gt;= " &amp; S6) - COUNTIF(Vertices[Clustering Coefficient], "&gt;=" &amp; S7)</f>
        <v>0</v>
      </c>
      <c r="U6" s="51" t="e">
        <f t="shared" ca="1" si="9"/>
        <v>#REF!</v>
      </c>
      <c r="V6" s="52" t="e">
        <f t="shared" ca="1" si="0"/>
        <v>#REF!</v>
      </c>
    </row>
    <row r="7" spans="1:25">
      <c r="A7" s="48"/>
      <c r="B7" s="48"/>
      <c r="C7" s="48"/>
      <c r="E7" s="46">
        <f t="shared" si="1"/>
        <v>0</v>
      </c>
      <c r="F7" s="3">
        <f>COUNTIF(Vertices[Degree], "&gt;= " &amp; E7) - COUNTIF(Vertices[Degree], "&gt;=" &amp; E8)</f>
        <v>0</v>
      </c>
      <c r="G7" s="53">
        <f t="shared" si="2"/>
        <v>0</v>
      </c>
      <c r="H7" s="54">
        <f>COUNTIF(Vertices[In-Degree], "&gt;= " &amp; G7) - COUNTIF(Vertices[In-Degree], "&gt;=" &amp; G8)</f>
        <v>0</v>
      </c>
      <c r="I7" s="53">
        <f t="shared" si="3"/>
        <v>0</v>
      </c>
      <c r="J7" s="54">
        <f>COUNTIF(Vertices[Out-Degree], "&gt;= " &amp; I7) - COUNTIF(Vertices[Out-Degree], "&gt;=" &amp; I8)</f>
        <v>0</v>
      </c>
      <c r="K7" s="53">
        <f t="shared" si="4"/>
        <v>0</v>
      </c>
      <c r="L7" s="54">
        <f>COUNTIF(Vertices[Betweenness Centrality], "&gt;= " &amp; K7) - COUNTIF(Vertices[Betweenness Centrality], "&gt;=" &amp; K8)</f>
        <v>0</v>
      </c>
      <c r="M7" s="53">
        <f t="shared" si="5"/>
        <v>0</v>
      </c>
      <c r="N7" s="54">
        <f>COUNTIF(Vertices[Closeness Centrality], "&gt;= " &amp; M7) - COUNTIF(Vertices[Closeness Centrality], "&gt;=" &amp; M8)</f>
        <v>0</v>
      </c>
      <c r="O7" s="53">
        <f t="shared" si="6"/>
        <v>0</v>
      </c>
      <c r="P7" s="54">
        <f>COUNTIF(Vertices[Eigenvector Centrality], "&gt;= " &amp; O7) - COUNTIF(Vertices[Eigenvector Centrality], "&gt;=" &amp; O8)</f>
        <v>0</v>
      </c>
      <c r="Q7" s="53">
        <f t="shared" si="7"/>
        <v>0</v>
      </c>
      <c r="R7" s="54">
        <f>COUNTIF(Vertices[PageRank], "&gt;= " &amp; Q7) - COUNTIF(Vertices[PageRank], "&gt;=" &amp; Q8)</f>
        <v>0</v>
      </c>
      <c r="S7" s="53">
        <f t="shared" si="8"/>
        <v>0</v>
      </c>
      <c r="T7" s="58">
        <f>COUNTIF(Vertices[Clustering Coefficient], "&gt;= " &amp; S7) - COUNTIF(Vertices[Clustering Coefficient], "&gt;=" &amp; S8)</f>
        <v>0</v>
      </c>
      <c r="U7" s="53" t="e">
        <f t="shared" ca="1" si="9"/>
        <v>#REF!</v>
      </c>
      <c r="V7" s="54" t="e">
        <f t="shared" ca="1" si="0"/>
        <v>#REF!</v>
      </c>
    </row>
    <row r="8" spans="1:25">
      <c r="A8" s="48"/>
      <c r="B8" s="48"/>
      <c r="C8" s="48"/>
      <c r="E8" s="46">
        <f t="shared" si="1"/>
        <v>0</v>
      </c>
      <c r="F8" s="3">
        <f>COUNTIF(Vertices[Degree], "&gt;= " &amp; E8) - COUNTIF(Vertices[Degree], "&gt;=" &amp; E9)</f>
        <v>0</v>
      </c>
      <c r="G8" s="51">
        <f t="shared" si="2"/>
        <v>0</v>
      </c>
      <c r="H8" s="52">
        <f>COUNTIF(Vertices[In-Degree], "&gt;= " &amp; G8) - COUNTIF(Vertices[In-Degree], "&gt;=" &amp; G9)</f>
        <v>0</v>
      </c>
      <c r="I8" s="51">
        <f t="shared" si="3"/>
        <v>0</v>
      </c>
      <c r="J8" s="52">
        <f>COUNTIF(Vertices[Out-Degree], "&gt;= " &amp; I8) - COUNTIF(Vertices[Out-Degree], "&gt;=" &amp; I9)</f>
        <v>0</v>
      </c>
      <c r="K8" s="51">
        <f t="shared" si="4"/>
        <v>0</v>
      </c>
      <c r="L8" s="52">
        <f>COUNTIF(Vertices[Betweenness Centrality], "&gt;= " &amp; K8) - COUNTIF(Vertices[Betweenness Centrality], "&gt;=" &amp; K9)</f>
        <v>0</v>
      </c>
      <c r="M8" s="51">
        <f t="shared" si="5"/>
        <v>0</v>
      </c>
      <c r="N8" s="52">
        <f>COUNTIF(Vertices[Closeness Centrality], "&gt;= " &amp; M8) - COUNTIF(Vertices[Closeness Centrality], "&gt;=" &amp; M9)</f>
        <v>0</v>
      </c>
      <c r="O8" s="51">
        <f t="shared" si="6"/>
        <v>0</v>
      </c>
      <c r="P8" s="52">
        <f>COUNTIF(Vertices[Eigenvector Centrality], "&gt;= " &amp; O8) - COUNTIF(Vertices[Eigenvector Centrality], "&gt;=" &amp; O9)</f>
        <v>0</v>
      </c>
      <c r="Q8" s="51">
        <f t="shared" si="7"/>
        <v>0</v>
      </c>
      <c r="R8" s="52">
        <f>COUNTIF(Vertices[PageRank], "&gt;= " &amp; Q8) - COUNTIF(Vertices[PageRank], "&gt;=" &amp; Q9)</f>
        <v>0</v>
      </c>
      <c r="S8" s="51">
        <f t="shared" si="8"/>
        <v>0</v>
      </c>
      <c r="T8" s="57">
        <f>COUNTIF(Vertices[Clustering Coefficient], "&gt;= " &amp; S8) - COUNTIF(Vertices[Clustering Coefficient], "&gt;=" &amp; S9)</f>
        <v>0</v>
      </c>
      <c r="U8" s="51" t="e">
        <f t="shared" ca="1" si="9"/>
        <v>#REF!</v>
      </c>
      <c r="V8" s="52" t="e">
        <f t="shared" ca="1" si="0"/>
        <v>#REF!</v>
      </c>
    </row>
    <row r="9" spans="1:25">
      <c r="A9" s="48"/>
      <c r="B9" s="48"/>
      <c r="C9" s="48"/>
      <c r="E9" s="46">
        <f t="shared" si="1"/>
        <v>0</v>
      </c>
      <c r="F9" s="3">
        <f>COUNTIF(Vertices[Degree], "&gt;= " &amp; E9) - COUNTIF(Vertices[Degree], "&gt;=" &amp; E10)</f>
        <v>0</v>
      </c>
      <c r="G9" s="53">
        <f t="shared" si="2"/>
        <v>0</v>
      </c>
      <c r="H9" s="54">
        <f>COUNTIF(Vertices[In-Degree], "&gt;= " &amp; G9) - COUNTIF(Vertices[In-Degree], "&gt;=" &amp; G10)</f>
        <v>0</v>
      </c>
      <c r="I9" s="53">
        <f t="shared" si="3"/>
        <v>0</v>
      </c>
      <c r="J9" s="54">
        <f>COUNTIF(Vertices[Out-Degree], "&gt;= " &amp; I9) - COUNTIF(Vertices[Out-Degree], "&gt;=" &amp; I10)</f>
        <v>0</v>
      </c>
      <c r="K9" s="53">
        <f t="shared" si="4"/>
        <v>0</v>
      </c>
      <c r="L9" s="54">
        <f>COUNTIF(Vertices[Betweenness Centrality], "&gt;= " &amp; K9) - COUNTIF(Vertices[Betweenness Centrality], "&gt;=" &amp; K10)</f>
        <v>0</v>
      </c>
      <c r="M9" s="53">
        <f t="shared" si="5"/>
        <v>0</v>
      </c>
      <c r="N9" s="54">
        <f>COUNTIF(Vertices[Closeness Centrality], "&gt;= " &amp; M9) - COUNTIF(Vertices[Closeness Centrality], "&gt;=" &amp; M10)</f>
        <v>0</v>
      </c>
      <c r="O9" s="53">
        <f t="shared" si="6"/>
        <v>0</v>
      </c>
      <c r="P9" s="54">
        <f>COUNTIF(Vertices[Eigenvector Centrality], "&gt;= " &amp; O9) - COUNTIF(Vertices[Eigenvector Centrality], "&gt;=" &amp; O10)</f>
        <v>0</v>
      </c>
      <c r="Q9" s="53">
        <f t="shared" si="7"/>
        <v>0</v>
      </c>
      <c r="R9" s="54">
        <f>COUNTIF(Vertices[PageRank], "&gt;= " &amp; Q9) - COUNTIF(Vertices[PageRank], "&gt;=" &amp; Q10)</f>
        <v>0</v>
      </c>
      <c r="S9" s="53">
        <f t="shared" si="8"/>
        <v>0</v>
      </c>
      <c r="T9" s="58">
        <f>COUNTIF(Vertices[Clustering Coefficient], "&gt;= " &amp; S9) - COUNTIF(Vertices[Clustering Coefficient], "&gt;=" &amp; S10)</f>
        <v>0</v>
      </c>
      <c r="U9" s="53" t="e">
        <f t="shared" ca="1" si="9"/>
        <v>#REF!</v>
      </c>
      <c r="V9" s="54" t="e">
        <f t="shared" ca="1" si="0"/>
        <v>#REF!</v>
      </c>
    </row>
    <row r="10" spans="1:25">
      <c r="A10" s="48"/>
      <c r="B10" s="48"/>
      <c r="C10" s="48"/>
      <c r="E10" s="46">
        <f t="shared" si="1"/>
        <v>0</v>
      </c>
      <c r="F10" s="3">
        <f>COUNTIF(Vertices[Degree], "&gt;= " &amp; E10) - COUNTIF(Vertices[Degree], "&gt;=" &amp; E11)</f>
        <v>0</v>
      </c>
      <c r="G10" s="51">
        <f t="shared" si="2"/>
        <v>0</v>
      </c>
      <c r="H10" s="52">
        <f>COUNTIF(Vertices[In-Degree], "&gt;= " &amp; G10) - COUNTIF(Vertices[In-Degree], "&gt;=" &amp; G11)</f>
        <v>0</v>
      </c>
      <c r="I10" s="51">
        <f t="shared" si="3"/>
        <v>0</v>
      </c>
      <c r="J10" s="52">
        <f>COUNTIF(Vertices[Out-Degree], "&gt;= " &amp; I10) - COUNTIF(Vertices[Out-Degree], "&gt;=" &amp; I11)</f>
        <v>0</v>
      </c>
      <c r="K10" s="51">
        <f t="shared" si="4"/>
        <v>0</v>
      </c>
      <c r="L10" s="52">
        <f>COUNTIF(Vertices[Betweenness Centrality], "&gt;= " &amp; K10) - COUNTIF(Vertices[Betweenness Centrality], "&gt;=" &amp; K11)</f>
        <v>0</v>
      </c>
      <c r="M10" s="51">
        <f t="shared" si="5"/>
        <v>0</v>
      </c>
      <c r="N10" s="52">
        <f>COUNTIF(Vertices[Closeness Centrality], "&gt;= " &amp; M10) - COUNTIF(Vertices[Closeness Centrality], "&gt;=" &amp; M11)</f>
        <v>0</v>
      </c>
      <c r="O10" s="51">
        <f t="shared" si="6"/>
        <v>0</v>
      </c>
      <c r="P10" s="52">
        <f>COUNTIF(Vertices[Eigenvector Centrality], "&gt;= " &amp; O10) - COUNTIF(Vertices[Eigenvector Centrality], "&gt;=" &amp; O11)</f>
        <v>0</v>
      </c>
      <c r="Q10" s="51">
        <f t="shared" si="7"/>
        <v>0</v>
      </c>
      <c r="R10" s="52">
        <f>COUNTIF(Vertices[PageRank], "&gt;= " &amp; Q10) - COUNTIF(Vertices[PageRank], "&gt;=" &amp; Q11)</f>
        <v>0</v>
      </c>
      <c r="S10" s="51">
        <f t="shared" si="8"/>
        <v>0</v>
      </c>
      <c r="T10" s="57">
        <f>COUNTIF(Vertices[Clustering Coefficient], "&gt;= " &amp; S10) - COUNTIF(Vertices[Clustering Coefficient], "&gt;=" &amp; S11)</f>
        <v>0</v>
      </c>
      <c r="U10" s="51" t="e">
        <f t="shared" ca="1" si="9"/>
        <v>#REF!</v>
      </c>
      <c r="V10" s="52" t="e">
        <f t="shared" ca="1" si="0"/>
        <v>#REF!</v>
      </c>
    </row>
    <row r="11" spans="1:25">
      <c r="A11" s="48"/>
      <c r="B11" s="48"/>
      <c r="C11" s="48"/>
      <c r="E11" s="46">
        <f t="shared" si="1"/>
        <v>0</v>
      </c>
      <c r="F11" s="3">
        <f>COUNTIF(Vertices[Degree], "&gt;= " &amp; E11) - COUNTIF(Vertices[Degree], "&gt;=" &amp; E12)</f>
        <v>0</v>
      </c>
      <c r="G11" s="53">
        <f t="shared" si="2"/>
        <v>0</v>
      </c>
      <c r="H11" s="54">
        <f>COUNTIF(Vertices[In-Degree], "&gt;= " &amp; G11) - COUNTIF(Vertices[In-Degree], "&gt;=" &amp; G12)</f>
        <v>0</v>
      </c>
      <c r="I11" s="53">
        <f t="shared" si="3"/>
        <v>0</v>
      </c>
      <c r="J11" s="54">
        <f>COUNTIF(Vertices[Out-Degree], "&gt;= " &amp; I11) - COUNTIF(Vertices[Out-Degree], "&gt;=" &amp; I12)</f>
        <v>0</v>
      </c>
      <c r="K11" s="53">
        <f t="shared" si="4"/>
        <v>0</v>
      </c>
      <c r="L11" s="54">
        <f>COUNTIF(Vertices[Betweenness Centrality], "&gt;= " &amp; K11) - COUNTIF(Vertices[Betweenness Centrality], "&gt;=" &amp; K12)</f>
        <v>0</v>
      </c>
      <c r="M11" s="53">
        <f t="shared" si="5"/>
        <v>0</v>
      </c>
      <c r="N11" s="54">
        <f>COUNTIF(Vertices[Closeness Centrality], "&gt;= " &amp; M11) - COUNTIF(Vertices[Closeness Centrality], "&gt;=" &amp; M12)</f>
        <v>0</v>
      </c>
      <c r="O11" s="53">
        <f t="shared" si="6"/>
        <v>0</v>
      </c>
      <c r="P11" s="54">
        <f>COUNTIF(Vertices[Eigenvector Centrality], "&gt;= " &amp; O11) - COUNTIF(Vertices[Eigenvector Centrality], "&gt;=" &amp; O12)</f>
        <v>0</v>
      </c>
      <c r="Q11" s="53">
        <f t="shared" si="7"/>
        <v>0</v>
      </c>
      <c r="R11" s="54">
        <f>COUNTIF(Vertices[PageRank], "&gt;= " &amp; Q11) - COUNTIF(Vertices[PageRank], "&gt;=" &amp; Q12)</f>
        <v>0</v>
      </c>
      <c r="S11" s="53">
        <f t="shared" si="8"/>
        <v>0</v>
      </c>
      <c r="T11" s="58">
        <f>COUNTIF(Vertices[Clustering Coefficient], "&gt;= " &amp; S11) - COUNTIF(Vertices[Clustering Coefficient], "&gt;=" &amp; S12)</f>
        <v>0</v>
      </c>
      <c r="U11" s="53" t="e">
        <f t="shared" ca="1" si="9"/>
        <v>#REF!</v>
      </c>
      <c r="V11" s="54" t="e">
        <f t="shared" ca="1" si="0"/>
        <v>#REF!</v>
      </c>
    </row>
    <row r="12" spans="1:25">
      <c r="A12" s="48"/>
      <c r="B12" s="48"/>
      <c r="C12" s="48"/>
      <c r="E12" s="46">
        <f t="shared" si="1"/>
        <v>0</v>
      </c>
      <c r="F12" s="3">
        <f>COUNTIF(Vertices[Degree], "&gt;= " &amp; E12) - COUNTIF(Vertices[Degree], "&gt;=" &amp; E13)</f>
        <v>0</v>
      </c>
      <c r="G12" s="51">
        <f t="shared" si="2"/>
        <v>0</v>
      </c>
      <c r="H12" s="52">
        <f>COUNTIF(Vertices[In-Degree], "&gt;= " &amp; G12) - COUNTIF(Vertices[In-Degree], "&gt;=" &amp; G13)</f>
        <v>0</v>
      </c>
      <c r="I12" s="51">
        <f t="shared" si="3"/>
        <v>0</v>
      </c>
      <c r="J12" s="52">
        <f>COUNTIF(Vertices[Out-Degree], "&gt;= " &amp; I12) - COUNTIF(Vertices[Out-Degree], "&gt;=" &amp; I13)</f>
        <v>0</v>
      </c>
      <c r="K12" s="51">
        <f t="shared" si="4"/>
        <v>0</v>
      </c>
      <c r="L12" s="52">
        <f>COUNTIF(Vertices[Betweenness Centrality], "&gt;= " &amp; K12) - COUNTIF(Vertices[Betweenness Centrality], "&gt;=" &amp; K13)</f>
        <v>0</v>
      </c>
      <c r="M12" s="51">
        <f t="shared" si="5"/>
        <v>0</v>
      </c>
      <c r="N12" s="52">
        <f>COUNTIF(Vertices[Closeness Centrality], "&gt;= " &amp; M12) - COUNTIF(Vertices[Closeness Centrality], "&gt;=" &amp; M13)</f>
        <v>0</v>
      </c>
      <c r="O12" s="51">
        <f t="shared" si="6"/>
        <v>0</v>
      </c>
      <c r="P12" s="52">
        <f>COUNTIF(Vertices[Eigenvector Centrality], "&gt;= " &amp; O12) - COUNTIF(Vertices[Eigenvector Centrality], "&gt;=" &amp; O13)</f>
        <v>0</v>
      </c>
      <c r="Q12" s="51">
        <f t="shared" si="7"/>
        <v>0</v>
      </c>
      <c r="R12" s="52">
        <f>COUNTIF(Vertices[PageRank], "&gt;= " &amp; Q12) - COUNTIF(Vertices[PageRank], "&gt;=" &amp; Q13)</f>
        <v>0</v>
      </c>
      <c r="S12" s="51">
        <f t="shared" si="8"/>
        <v>0</v>
      </c>
      <c r="T12" s="57">
        <f>COUNTIF(Vertices[Clustering Coefficient], "&gt;= " &amp; S12) - COUNTIF(Vertices[Clustering Coefficient], "&gt;=" &amp; S13)</f>
        <v>0</v>
      </c>
      <c r="U12" s="51" t="e">
        <f t="shared" ca="1" si="9"/>
        <v>#REF!</v>
      </c>
      <c r="V12" s="52" t="e">
        <f t="shared" ca="1" si="0"/>
        <v>#REF!</v>
      </c>
    </row>
    <row r="13" spans="1:25">
      <c r="A13" s="48"/>
      <c r="B13" s="48"/>
      <c r="C13" s="48"/>
      <c r="E13" s="46">
        <f t="shared" si="1"/>
        <v>0</v>
      </c>
      <c r="F13" s="3">
        <f>COUNTIF(Vertices[Degree], "&gt;= " &amp; E13) - COUNTIF(Vertices[Degree], "&gt;=" &amp; E14)</f>
        <v>0</v>
      </c>
      <c r="G13" s="53">
        <f t="shared" si="2"/>
        <v>0</v>
      </c>
      <c r="H13" s="54">
        <f>COUNTIF(Vertices[In-Degree], "&gt;= " &amp; G13) - COUNTIF(Vertices[In-Degree], "&gt;=" &amp; G14)</f>
        <v>0</v>
      </c>
      <c r="I13" s="53">
        <f t="shared" si="3"/>
        <v>0</v>
      </c>
      <c r="J13" s="54">
        <f>COUNTIF(Vertices[Out-Degree], "&gt;= " &amp; I13) - COUNTIF(Vertices[Out-Degree], "&gt;=" &amp; I14)</f>
        <v>0</v>
      </c>
      <c r="K13" s="53">
        <f t="shared" si="4"/>
        <v>0</v>
      </c>
      <c r="L13" s="54">
        <f>COUNTIF(Vertices[Betweenness Centrality], "&gt;= " &amp; K13) - COUNTIF(Vertices[Betweenness Centrality], "&gt;=" &amp; K14)</f>
        <v>0</v>
      </c>
      <c r="M13" s="53">
        <f t="shared" si="5"/>
        <v>0</v>
      </c>
      <c r="N13" s="54">
        <f>COUNTIF(Vertices[Closeness Centrality], "&gt;= " &amp; M13) - COUNTIF(Vertices[Closeness Centrality], "&gt;=" &amp; M14)</f>
        <v>0</v>
      </c>
      <c r="O13" s="53">
        <f t="shared" si="6"/>
        <v>0</v>
      </c>
      <c r="P13" s="54">
        <f>COUNTIF(Vertices[Eigenvector Centrality], "&gt;= " &amp; O13) - COUNTIF(Vertices[Eigenvector Centrality], "&gt;=" &amp; O14)</f>
        <v>0</v>
      </c>
      <c r="Q13" s="53">
        <f t="shared" si="7"/>
        <v>0</v>
      </c>
      <c r="R13" s="54">
        <f>COUNTIF(Vertices[PageRank], "&gt;= " &amp; Q13) - COUNTIF(Vertices[PageRank], "&gt;=" &amp; Q14)</f>
        <v>0</v>
      </c>
      <c r="S13" s="53">
        <f t="shared" si="8"/>
        <v>0</v>
      </c>
      <c r="T13" s="58">
        <f>COUNTIF(Vertices[Clustering Coefficient], "&gt;= " &amp; S13) - COUNTIF(Vertices[Clustering Coefficient], "&gt;=" &amp; S14)</f>
        <v>0</v>
      </c>
      <c r="U13" s="53" t="e">
        <f t="shared" ca="1" si="9"/>
        <v>#REF!</v>
      </c>
      <c r="V13" s="54" t="e">
        <f t="shared" ca="1" si="0"/>
        <v>#REF!</v>
      </c>
    </row>
    <row r="14" spans="1:25">
      <c r="A14" s="48"/>
      <c r="B14" s="48"/>
      <c r="C14" s="48"/>
      <c r="E14" s="46">
        <f t="shared" si="1"/>
        <v>0</v>
      </c>
      <c r="F14" s="3">
        <f>COUNTIF(Vertices[Degree], "&gt;= " &amp; E14) - COUNTIF(Vertices[Degree], "&gt;=" &amp; E15)</f>
        <v>0</v>
      </c>
      <c r="G14" s="51">
        <f t="shared" si="2"/>
        <v>0</v>
      </c>
      <c r="H14" s="52">
        <f>COUNTIF(Vertices[In-Degree], "&gt;= " &amp; G14) - COUNTIF(Vertices[In-Degree], "&gt;=" &amp; G15)</f>
        <v>0</v>
      </c>
      <c r="I14" s="51">
        <f t="shared" si="3"/>
        <v>0</v>
      </c>
      <c r="J14" s="52">
        <f>COUNTIF(Vertices[Out-Degree], "&gt;= " &amp; I14) - COUNTIF(Vertices[Out-Degree], "&gt;=" &amp; I15)</f>
        <v>0</v>
      </c>
      <c r="K14" s="51">
        <f t="shared" si="4"/>
        <v>0</v>
      </c>
      <c r="L14" s="52">
        <f>COUNTIF(Vertices[Betweenness Centrality], "&gt;= " &amp; K14) - COUNTIF(Vertices[Betweenness Centrality], "&gt;=" &amp; K15)</f>
        <v>0</v>
      </c>
      <c r="M14" s="51">
        <f t="shared" si="5"/>
        <v>0</v>
      </c>
      <c r="N14" s="52">
        <f>COUNTIF(Vertices[Closeness Centrality], "&gt;= " &amp; M14) - COUNTIF(Vertices[Closeness Centrality], "&gt;=" &amp; M15)</f>
        <v>0</v>
      </c>
      <c r="O14" s="51">
        <f t="shared" si="6"/>
        <v>0</v>
      </c>
      <c r="P14" s="52">
        <f>COUNTIF(Vertices[Eigenvector Centrality], "&gt;= " &amp; O14) - COUNTIF(Vertices[Eigenvector Centrality], "&gt;=" &amp; O15)</f>
        <v>0</v>
      </c>
      <c r="Q14" s="51">
        <f t="shared" si="7"/>
        <v>0</v>
      </c>
      <c r="R14" s="52">
        <f>COUNTIF(Vertices[PageRank], "&gt;= " &amp; Q14) - COUNTIF(Vertices[PageRank], "&gt;=" &amp; Q15)</f>
        <v>0</v>
      </c>
      <c r="S14" s="51">
        <f t="shared" si="8"/>
        <v>0</v>
      </c>
      <c r="T14" s="57">
        <f>COUNTIF(Vertices[Clustering Coefficient], "&gt;= " &amp; S14) - COUNTIF(Vertices[Clustering Coefficient], "&gt;=" &amp; S15)</f>
        <v>0</v>
      </c>
      <c r="U14" s="51" t="e">
        <f t="shared" ca="1" si="9"/>
        <v>#REF!</v>
      </c>
      <c r="V14" s="52" t="e">
        <f t="shared" ca="1" si="0"/>
        <v>#REF!</v>
      </c>
    </row>
    <row r="15" spans="1:25">
      <c r="A15" s="48"/>
      <c r="B15" s="48"/>
      <c r="C15" s="48"/>
      <c r="E15" s="46">
        <f t="shared" si="1"/>
        <v>0</v>
      </c>
      <c r="F15" s="3">
        <f>COUNTIF(Vertices[Degree], "&gt;= " &amp; E15) - COUNTIF(Vertices[Degree], "&gt;=" &amp; E16)</f>
        <v>0</v>
      </c>
      <c r="G15" s="53">
        <f t="shared" si="2"/>
        <v>0</v>
      </c>
      <c r="H15" s="54">
        <f>COUNTIF(Vertices[In-Degree], "&gt;= " &amp; G15) - COUNTIF(Vertices[In-Degree], "&gt;=" &amp; G16)</f>
        <v>0</v>
      </c>
      <c r="I15" s="53">
        <f t="shared" si="3"/>
        <v>0</v>
      </c>
      <c r="J15" s="54">
        <f>COUNTIF(Vertices[Out-Degree], "&gt;= " &amp; I15) - COUNTIF(Vertices[Out-Degree], "&gt;=" &amp; I16)</f>
        <v>0</v>
      </c>
      <c r="K15" s="53">
        <f t="shared" si="4"/>
        <v>0</v>
      </c>
      <c r="L15" s="54">
        <f>COUNTIF(Vertices[Betweenness Centrality], "&gt;= " &amp; K15) - COUNTIF(Vertices[Betweenness Centrality], "&gt;=" &amp; K16)</f>
        <v>0</v>
      </c>
      <c r="M15" s="53">
        <f t="shared" si="5"/>
        <v>0</v>
      </c>
      <c r="N15" s="54">
        <f>COUNTIF(Vertices[Closeness Centrality], "&gt;= " &amp; M15) - COUNTIF(Vertices[Closeness Centrality], "&gt;=" &amp; M16)</f>
        <v>0</v>
      </c>
      <c r="O15" s="53">
        <f t="shared" si="6"/>
        <v>0</v>
      </c>
      <c r="P15" s="54">
        <f>COUNTIF(Vertices[Eigenvector Centrality], "&gt;= " &amp; O15) - COUNTIF(Vertices[Eigenvector Centrality], "&gt;=" &amp; O16)</f>
        <v>0</v>
      </c>
      <c r="Q15" s="53">
        <f t="shared" si="7"/>
        <v>0</v>
      </c>
      <c r="R15" s="54">
        <f>COUNTIF(Vertices[PageRank], "&gt;= " &amp; Q15) - COUNTIF(Vertices[PageRank], "&gt;=" &amp; Q16)</f>
        <v>0</v>
      </c>
      <c r="S15" s="53">
        <f t="shared" si="8"/>
        <v>0</v>
      </c>
      <c r="T15" s="58">
        <f>COUNTIF(Vertices[Clustering Coefficient], "&gt;= " &amp; S15) - COUNTIF(Vertices[Clustering Coefficient], "&gt;=" &amp; S16)</f>
        <v>0</v>
      </c>
      <c r="U15" s="53" t="e">
        <f t="shared" ca="1" si="9"/>
        <v>#REF!</v>
      </c>
      <c r="V15" s="54" t="e">
        <f t="shared" ca="1" si="0"/>
        <v>#REF!</v>
      </c>
    </row>
    <row r="16" spans="1:25">
      <c r="A16" s="48"/>
      <c r="B16" s="48"/>
      <c r="C16" s="48"/>
      <c r="E16" s="46">
        <f t="shared" si="1"/>
        <v>0</v>
      </c>
      <c r="F16" s="3">
        <f>COUNTIF(Vertices[Degree], "&gt;= " &amp; E16) - COUNTIF(Vertices[Degree], "&gt;=" &amp; E17)</f>
        <v>0</v>
      </c>
      <c r="G16" s="51">
        <f t="shared" si="2"/>
        <v>0</v>
      </c>
      <c r="H16" s="52">
        <f>COUNTIF(Vertices[In-Degree], "&gt;= " &amp; G16) - COUNTIF(Vertices[In-Degree], "&gt;=" &amp; G17)</f>
        <v>0</v>
      </c>
      <c r="I16" s="51">
        <f t="shared" si="3"/>
        <v>0</v>
      </c>
      <c r="J16" s="52">
        <f>COUNTIF(Vertices[Out-Degree], "&gt;= " &amp; I16) - COUNTIF(Vertices[Out-Degree], "&gt;=" &amp; I17)</f>
        <v>0</v>
      </c>
      <c r="K16" s="51">
        <f t="shared" si="4"/>
        <v>0</v>
      </c>
      <c r="L16" s="52">
        <f>COUNTIF(Vertices[Betweenness Centrality], "&gt;= " &amp; K16) - COUNTIF(Vertices[Betweenness Centrality], "&gt;=" &amp; K17)</f>
        <v>0</v>
      </c>
      <c r="M16" s="51">
        <f t="shared" si="5"/>
        <v>0</v>
      </c>
      <c r="N16" s="52">
        <f>COUNTIF(Vertices[Closeness Centrality], "&gt;= " &amp; M16) - COUNTIF(Vertices[Closeness Centrality], "&gt;=" &amp; M17)</f>
        <v>0</v>
      </c>
      <c r="O16" s="51">
        <f t="shared" si="6"/>
        <v>0</v>
      </c>
      <c r="P16" s="52">
        <f>COUNTIF(Vertices[Eigenvector Centrality], "&gt;= " &amp; O16) - COUNTIF(Vertices[Eigenvector Centrality], "&gt;=" &amp; O17)</f>
        <v>0</v>
      </c>
      <c r="Q16" s="51">
        <f t="shared" si="7"/>
        <v>0</v>
      </c>
      <c r="R16" s="52">
        <f>COUNTIF(Vertices[PageRank], "&gt;= " &amp; Q16) - COUNTIF(Vertices[PageRank], "&gt;=" &amp; Q17)</f>
        <v>0</v>
      </c>
      <c r="S16" s="51">
        <f t="shared" si="8"/>
        <v>0</v>
      </c>
      <c r="T16" s="57">
        <f>COUNTIF(Vertices[Clustering Coefficient], "&gt;= " &amp; S16) - COUNTIF(Vertices[Clustering Coefficient], "&gt;=" &amp; S17)</f>
        <v>0</v>
      </c>
      <c r="U16" s="51" t="e">
        <f t="shared" ca="1" si="9"/>
        <v>#REF!</v>
      </c>
      <c r="V16" s="52" t="e">
        <f t="shared" ca="1" si="0"/>
        <v>#REF!</v>
      </c>
    </row>
    <row r="17" spans="1:22">
      <c r="A17" s="48"/>
      <c r="B17" s="48"/>
      <c r="C17" s="48"/>
      <c r="E17" s="46">
        <f t="shared" si="1"/>
        <v>0</v>
      </c>
      <c r="F17" s="3">
        <f>COUNTIF(Vertices[Degree], "&gt;= " &amp; E17) - COUNTIF(Vertices[Degree], "&gt;=" &amp; E18)</f>
        <v>0</v>
      </c>
      <c r="G17" s="53">
        <f t="shared" si="2"/>
        <v>0</v>
      </c>
      <c r="H17" s="54">
        <f>COUNTIF(Vertices[In-Degree], "&gt;= " &amp; G17) - COUNTIF(Vertices[In-Degree], "&gt;=" &amp; G18)</f>
        <v>0</v>
      </c>
      <c r="I17" s="53">
        <f t="shared" si="3"/>
        <v>0</v>
      </c>
      <c r="J17" s="54">
        <f>COUNTIF(Vertices[Out-Degree], "&gt;= " &amp; I17) - COUNTIF(Vertices[Out-Degree], "&gt;=" &amp; I18)</f>
        <v>0</v>
      </c>
      <c r="K17" s="53">
        <f t="shared" si="4"/>
        <v>0</v>
      </c>
      <c r="L17" s="54">
        <f>COUNTIF(Vertices[Betweenness Centrality], "&gt;= " &amp; K17) - COUNTIF(Vertices[Betweenness Centrality], "&gt;=" &amp; K18)</f>
        <v>0</v>
      </c>
      <c r="M17" s="53">
        <f t="shared" si="5"/>
        <v>0</v>
      </c>
      <c r="N17" s="54">
        <f>COUNTIF(Vertices[Closeness Centrality], "&gt;= " &amp; M17) - COUNTIF(Vertices[Closeness Centrality], "&gt;=" &amp; M18)</f>
        <v>0</v>
      </c>
      <c r="O17" s="53">
        <f t="shared" si="6"/>
        <v>0</v>
      </c>
      <c r="P17" s="54">
        <f>COUNTIF(Vertices[Eigenvector Centrality], "&gt;= " &amp; O17) - COUNTIF(Vertices[Eigenvector Centrality], "&gt;=" &amp; O18)</f>
        <v>0</v>
      </c>
      <c r="Q17" s="53">
        <f t="shared" si="7"/>
        <v>0</v>
      </c>
      <c r="R17" s="54">
        <f>COUNTIF(Vertices[PageRank], "&gt;= " &amp; Q17) - COUNTIF(Vertices[PageRank], "&gt;=" &amp; Q18)</f>
        <v>0</v>
      </c>
      <c r="S17" s="53">
        <f t="shared" si="8"/>
        <v>0</v>
      </c>
      <c r="T17" s="58">
        <f>COUNTIF(Vertices[Clustering Coefficient], "&gt;= " &amp; S17) - COUNTIF(Vertices[Clustering Coefficient], "&gt;=" &amp; S18)</f>
        <v>0</v>
      </c>
      <c r="U17" s="53" t="e">
        <f t="shared" ca="1" si="9"/>
        <v>#REF!</v>
      </c>
      <c r="V17" s="54" t="e">
        <f t="shared" ca="1" si="0"/>
        <v>#REF!</v>
      </c>
    </row>
    <row r="18" spans="1:22">
      <c r="A18" s="48"/>
      <c r="B18" s="48"/>
      <c r="C18" s="48"/>
      <c r="E18" s="46">
        <f t="shared" si="1"/>
        <v>0</v>
      </c>
      <c r="F18" s="3">
        <f>COUNTIF(Vertices[Degree], "&gt;= " &amp; E18) - COUNTIF(Vertices[Degree], "&gt;=" &amp; E19)</f>
        <v>0</v>
      </c>
      <c r="G18" s="51">
        <f t="shared" si="2"/>
        <v>0</v>
      </c>
      <c r="H18" s="52">
        <f>COUNTIF(Vertices[In-Degree], "&gt;= " &amp; G18) - COUNTIF(Vertices[In-Degree], "&gt;=" &amp; G19)</f>
        <v>0</v>
      </c>
      <c r="I18" s="51">
        <f t="shared" si="3"/>
        <v>0</v>
      </c>
      <c r="J18" s="52">
        <f>COUNTIF(Vertices[Out-Degree], "&gt;= " &amp; I18) - COUNTIF(Vertices[Out-Degree], "&gt;=" &amp; I19)</f>
        <v>0</v>
      </c>
      <c r="K18" s="51">
        <f t="shared" si="4"/>
        <v>0</v>
      </c>
      <c r="L18" s="52">
        <f>COUNTIF(Vertices[Betweenness Centrality], "&gt;= " &amp; K18) - COUNTIF(Vertices[Betweenness Centrality], "&gt;=" &amp; K19)</f>
        <v>0</v>
      </c>
      <c r="M18" s="51">
        <f t="shared" si="5"/>
        <v>0</v>
      </c>
      <c r="N18" s="52">
        <f>COUNTIF(Vertices[Closeness Centrality], "&gt;= " &amp; M18) - COUNTIF(Vertices[Closeness Centrality], "&gt;=" &amp; M19)</f>
        <v>0</v>
      </c>
      <c r="O18" s="51">
        <f t="shared" si="6"/>
        <v>0</v>
      </c>
      <c r="P18" s="52">
        <f>COUNTIF(Vertices[Eigenvector Centrality], "&gt;= " &amp; O18) - COUNTIF(Vertices[Eigenvector Centrality], "&gt;=" &amp; O19)</f>
        <v>0</v>
      </c>
      <c r="Q18" s="51">
        <f t="shared" si="7"/>
        <v>0</v>
      </c>
      <c r="R18" s="52">
        <f>COUNTIF(Vertices[PageRank], "&gt;= " &amp; Q18) - COUNTIF(Vertices[PageRank], "&gt;=" &amp; Q19)</f>
        <v>0</v>
      </c>
      <c r="S18" s="51">
        <f t="shared" si="8"/>
        <v>0</v>
      </c>
      <c r="T18" s="57">
        <f>COUNTIF(Vertices[Clustering Coefficient], "&gt;= " &amp; S18) - COUNTIF(Vertices[Clustering Coefficient], "&gt;=" &amp; S19)</f>
        <v>0</v>
      </c>
      <c r="U18" s="51" t="e">
        <f t="shared" ca="1" si="9"/>
        <v>#REF!</v>
      </c>
      <c r="V18" s="52" t="e">
        <f t="shared" ca="1" si="0"/>
        <v>#REF!</v>
      </c>
    </row>
    <row r="19" spans="1:22">
      <c r="A19" s="48"/>
      <c r="B19" s="48"/>
      <c r="C19" s="48"/>
      <c r="E19" s="46">
        <f t="shared" si="1"/>
        <v>0</v>
      </c>
      <c r="F19" s="3">
        <f>COUNTIF(Vertices[Degree], "&gt;= " &amp; E19) - COUNTIF(Vertices[Degree], "&gt;=" &amp; E20)</f>
        <v>0</v>
      </c>
      <c r="G19" s="53">
        <f t="shared" si="2"/>
        <v>0</v>
      </c>
      <c r="H19" s="54">
        <f>COUNTIF(Vertices[In-Degree], "&gt;= " &amp; G19) - COUNTIF(Vertices[In-Degree], "&gt;=" &amp; G20)</f>
        <v>0</v>
      </c>
      <c r="I19" s="53">
        <f t="shared" si="3"/>
        <v>0</v>
      </c>
      <c r="J19" s="54">
        <f>COUNTIF(Vertices[Out-Degree], "&gt;= " &amp; I19) - COUNTIF(Vertices[Out-Degree], "&gt;=" &amp; I20)</f>
        <v>0</v>
      </c>
      <c r="K19" s="53">
        <f t="shared" si="4"/>
        <v>0</v>
      </c>
      <c r="L19" s="54">
        <f>COUNTIF(Vertices[Betweenness Centrality], "&gt;= " &amp; K19) - COUNTIF(Vertices[Betweenness Centrality], "&gt;=" &amp; K20)</f>
        <v>0</v>
      </c>
      <c r="M19" s="53">
        <f t="shared" si="5"/>
        <v>0</v>
      </c>
      <c r="N19" s="54">
        <f>COUNTIF(Vertices[Closeness Centrality], "&gt;= " &amp; M19) - COUNTIF(Vertices[Closeness Centrality], "&gt;=" &amp; M20)</f>
        <v>0</v>
      </c>
      <c r="O19" s="53">
        <f t="shared" si="6"/>
        <v>0</v>
      </c>
      <c r="P19" s="54">
        <f>COUNTIF(Vertices[Eigenvector Centrality], "&gt;= " &amp; O19) - COUNTIF(Vertices[Eigenvector Centrality], "&gt;=" &amp; O20)</f>
        <v>0</v>
      </c>
      <c r="Q19" s="53">
        <f t="shared" si="7"/>
        <v>0</v>
      </c>
      <c r="R19" s="54">
        <f>COUNTIF(Vertices[PageRank], "&gt;= " &amp; Q19) - COUNTIF(Vertices[PageRank], "&gt;=" &amp; Q20)</f>
        <v>0</v>
      </c>
      <c r="S19" s="53">
        <f t="shared" si="8"/>
        <v>0</v>
      </c>
      <c r="T19" s="58">
        <f>COUNTIF(Vertices[Clustering Coefficient], "&gt;= " &amp; S19) - COUNTIF(Vertices[Clustering Coefficient], "&gt;=" &amp; S20)</f>
        <v>0</v>
      </c>
      <c r="U19" s="53" t="e">
        <f t="shared" ca="1" si="9"/>
        <v>#REF!</v>
      </c>
      <c r="V19" s="54" t="e">
        <f t="shared" ca="1" si="0"/>
        <v>#REF!</v>
      </c>
    </row>
    <row r="20" spans="1:22">
      <c r="A20" s="48"/>
      <c r="B20" s="48"/>
      <c r="C20" s="48"/>
      <c r="E20" s="46">
        <f t="shared" si="1"/>
        <v>0</v>
      </c>
      <c r="F20" s="3">
        <f>COUNTIF(Vertices[Degree], "&gt;= " &amp; E20) - COUNTIF(Vertices[Degree], "&gt;=" &amp; E21)</f>
        <v>0</v>
      </c>
      <c r="G20" s="51">
        <f t="shared" si="2"/>
        <v>0</v>
      </c>
      <c r="H20" s="52">
        <f>COUNTIF(Vertices[In-Degree], "&gt;= " &amp; G20) - COUNTIF(Vertices[In-Degree], "&gt;=" &amp; G21)</f>
        <v>0</v>
      </c>
      <c r="I20" s="51">
        <f t="shared" si="3"/>
        <v>0</v>
      </c>
      <c r="J20" s="52">
        <f>COUNTIF(Vertices[Out-Degree], "&gt;= " &amp; I20) - COUNTIF(Vertices[Out-Degree], "&gt;=" &amp; I21)</f>
        <v>0</v>
      </c>
      <c r="K20" s="51">
        <f t="shared" si="4"/>
        <v>0</v>
      </c>
      <c r="L20" s="52">
        <f>COUNTIF(Vertices[Betweenness Centrality], "&gt;= " &amp; K20) - COUNTIF(Vertices[Betweenness Centrality], "&gt;=" &amp; K21)</f>
        <v>0</v>
      </c>
      <c r="M20" s="51">
        <f t="shared" si="5"/>
        <v>0</v>
      </c>
      <c r="N20" s="52">
        <f>COUNTIF(Vertices[Closeness Centrality], "&gt;= " &amp; M20) - COUNTIF(Vertices[Closeness Centrality], "&gt;=" &amp; M21)</f>
        <v>0</v>
      </c>
      <c r="O20" s="51">
        <f t="shared" si="6"/>
        <v>0</v>
      </c>
      <c r="P20" s="52">
        <f>COUNTIF(Vertices[Eigenvector Centrality], "&gt;= " &amp; O20) - COUNTIF(Vertices[Eigenvector Centrality], "&gt;=" &amp; O21)</f>
        <v>0</v>
      </c>
      <c r="Q20" s="51">
        <f t="shared" si="7"/>
        <v>0</v>
      </c>
      <c r="R20" s="52">
        <f>COUNTIF(Vertices[PageRank], "&gt;= " &amp; Q20) - COUNTIF(Vertices[PageRank], "&gt;=" &amp; Q21)</f>
        <v>0</v>
      </c>
      <c r="S20" s="51">
        <f t="shared" si="8"/>
        <v>0</v>
      </c>
      <c r="T20" s="57">
        <f>COUNTIF(Vertices[Clustering Coefficient], "&gt;= " &amp; S20) - COUNTIF(Vertices[Clustering Coefficient], "&gt;=" &amp; S21)</f>
        <v>0</v>
      </c>
      <c r="U20" s="51" t="e">
        <f t="shared" ca="1" si="9"/>
        <v>#REF!</v>
      </c>
      <c r="V20" s="52" t="e">
        <f t="shared" ca="1" si="0"/>
        <v>#REF!</v>
      </c>
    </row>
    <row r="21" spans="1:22">
      <c r="A21" s="48"/>
      <c r="B21" s="48"/>
      <c r="C21" s="48"/>
      <c r="E21" s="46">
        <f t="shared" si="1"/>
        <v>0</v>
      </c>
      <c r="F21" s="3">
        <f>COUNTIF(Vertices[Degree], "&gt;= " &amp; E21) - COUNTIF(Vertices[Degree], "&gt;=" &amp; E22)</f>
        <v>0</v>
      </c>
      <c r="G21" s="53">
        <f t="shared" si="2"/>
        <v>0</v>
      </c>
      <c r="H21" s="54">
        <f>COUNTIF(Vertices[In-Degree], "&gt;= " &amp; G21) - COUNTIF(Vertices[In-Degree], "&gt;=" &amp; G22)</f>
        <v>0</v>
      </c>
      <c r="I21" s="53">
        <f t="shared" si="3"/>
        <v>0</v>
      </c>
      <c r="J21" s="54">
        <f>COUNTIF(Vertices[Out-Degree], "&gt;= " &amp; I21) - COUNTIF(Vertices[Out-Degree], "&gt;=" &amp; I22)</f>
        <v>0</v>
      </c>
      <c r="K21" s="53">
        <f t="shared" si="4"/>
        <v>0</v>
      </c>
      <c r="L21" s="54">
        <f>COUNTIF(Vertices[Betweenness Centrality], "&gt;= " &amp; K21) - COUNTIF(Vertices[Betweenness Centrality], "&gt;=" &amp; K22)</f>
        <v>0</v>
      </c>
      <c r="M21" s="53">
        <f t="shared" si="5"/>
        <v>0</v>
      </c>
      <c r="N21" s="54">
        <f>COUNTIF(Vertices[Closeness Centrality], "&gt;= " &amp; M21) - COUNTIF(Vertices[Closeness Centrality], "&gt;=" &amp; M22)</f>
        <v>0</v>
      </c>
      <c r="O21" s="53">
        <f t="shared" si="6"/>
        <v>0</v>
      </c>
      <c r="P21" s="54">
        <f>COUNTIF(Vertices[Eigenvector Centrality], "&gt;= " &amp; O21) - COUNTIF(Vertices[Eigenvector Centrality], "&gt;=" &amp; O22)</f>
        <v>0</v>
      </c>
      <c r="Q21" s="53">
        <f t="shared" si="7"/>
        <v>0</v>
      </c>
      <c r="R21" s="54">
        <f>COUNTIF(Vertices[PageRank], "&gt;= " &amp; Q21) - COUNTIF(Vertices[PageRank], "&gt;=" &amp; Q22)</f>
        <v>0</v>
      </c>
      <c r="S21" s="53">
        <f t="shared" si="8"/>
        <v>0</v>
      </c>
      <c r="T21" s="58">
        <f>COUNTIF(Vertices[Clustering Coefficient], "&gt;= " &amp; S21) - COUNTIF(Vertices[Clustering Coefficient], "&gt;=" &amp; S22)</f>
        <v>0</v>
      </c>
      <c r="U21" s="53" t="e">
        <f t="shared" ca="1" si="9"/>
        <v>#REF!</v>
      </c>
      <c r="V21" s="54" t="e">
        <f t="shared" ca="1" si="0"/>
        <v>#REF!</v>
      </c>
    </row>
    <row r="22" spans="1:22">
      <c r="A22" s="48"/>
      <c r="B22" s="48"/>
      <c r="C22" s="48" t="s">
        <v>101</v>
      </c>
      <c r="E22" s="46">
        <f t="shared" si="1"/>
        <v>0</v>
      </c>
      <c r="F22" s="3">
        <f>COUNTIF(Vertices[Degree], "&gt;= " &amp; E22) - COUNTIF(Vertices[Degree], "&gt;=" &amp; E23)</f>
        <v>0</v>
      </c>
      <c r="G22" s="51">
        <f t="shared" si="2"/>
        <v>0</v>
      </c>
      <c r="H22" s="52">
        <f>COUNTIF(Vertices[In-Degree], "&gt;= " &amp; G22) - COUNTIF(Vertices[In-Degree], "&gt;=" &amp; G23)</f>
        <v>0</v>
      </c>
      <c r="I22" s="51">
        <f t="shared" si="3"/>
        <v>0</v>
      </c>
      <c r="J22" s="52">
        <f>COUNTIF(Vertices[Out-Degree], "&gt;= " &amp; I22) - COUNTIF(Vertices[Out-Degree], "&gt;=" &amp; I23)</f>
        <v>0</v>
      </c>
      <c r="K22" s="51">
        <f t="shared" si="4"/>
        <v>0</v>
      </c>
      <c r="L22" s="52">
        <f>COUNTIF(Vertices[Betweenness Centrality], "&gt;= " &amp; K22) - COUNTIF(Vertices[Betweenness Centrality], "&gt;=" &amp; K23)</f>
        <v>0</v>
      </c>
      <c r="M22" s="51">
        <f t="shared" si="5"/>
        <v>0</v>
      </c>
      <c r="N22" s="52">
        <f>COUNTIF(Vertices[Closeness Centrality], "&gt;= " &amp; M22) - COUNTIF(Vertices[Closeness Centrality], "&gt;=" &amp; M23)</f>
        <v>0</v>
      </c>
      <c r="O22" s="51">
        <f t="shared" si="6"/>
        <v>0</v>
      </c>
      <c r="P22" s="52">
        <f>COUNTIF(Vertices[Eigenvector Centrality], "&gt;= " &amp; O22) - COUNTIF(Vertices[Eigenvector Centrality], "&gt;=" &amp; O23)</f>
        <v>0</v>
      </c>
      <c r="Q22" s="51">
        <f t="shared" si="7"/>
        <v>0</v>
      </c>
      <c r="R22" s="52">
        <f>COUNTIF(Vertices[PageRank], "&gt;= " &amp; Q22) - COUNTIF(Vertices[PageRank], "&gt;=" &amp; Q23)</f>
        <v>0</v>
      </c>
      <c r="S22" s="51">
        <f t="shared" si="8"/>
        <v>0</v>
      </c>
      <c r="T22" s="57">
        <f>COUNTIF(Vertices[Clustering Coefficient], "&gt;= " &amp; S22) - COUNTIF(Vertices[Clustering Coefficient], "&gt;=" &amp; S23)</f>
        <v>0</v>
      </c>
      <c r="U22" s="51" t="e">
        <f t="shared" ca="1" si="9"/>
        <v>#REF!</v>
      </c>
      <c r="V22" s="52" t="e">
        <f t="shared" ca="1" si="0"/>
        <v>#REF!</v>
      </c>
    </row>
    <row r="23" spans="1:22">
      <c r="E23" s="46">
        <f t="shared" si="1"/>
        <v>0</v>
      </c>
      <c r="F23" s="3">
        <f>COUNTIF(Vertices[Degree], "&gt;= " &amp; E23) - COUNTIF(Vertices[Degree], "&gt;=" &amp; E24)</f>
        <v>0</v>
      </c>
      <c r="G23" s="53">
        <f t="shared" si="2"/>
        <v>0</v>
      </c>
      <c r="H23" s="54">
        <f>COUNTIF(Vertices[In-Degree], "&gt;= " &amp; G23) - COUNTIF(Vertices[In-Degree], "&gt;=" &amp; G24)</f>
        <v>0</v>
      </c>
      <c r="I23" s="53">
        <f t="shared" si="3"/>
        <v>0</v>
      </c>
      <c r="J23" s="54">
        <f>COUNTIF(Vertices[Out-Degree], "&gt;= " &amp; I23) - COUNTIF(Vertices[Out-Degree], "&gt;=" &amp; I24)</f>
        <v>0</v>
      </c>
      <c r="K23" s="53">
        <f t="shared" si="4"/>
        <v>0</v>
      </c>
      <c r="L23" s="54">
        <f>COUNTIF(Vertices[Betweenness Centrality], "&gt;= " &amp; K23) - COUNTIF(Vertices[Betweenness Centrality], "&gt;=" &amp; K24)</f>
        <v>0</v>
      </c>
      <c r="M23" s="53">
        <f t="shared" si="5"/>
        <v>0</v>
      </c>
      <c r="N23" s="54">
        <f>COUNTIF(Vertices[Closeness Centrality], "&gt;= " &amp; M23) - COUNTIF(Vertices[Closeness Centrality], "&gt;=" &amp; M24)</f>
        <v>0</v>
      </c>
      <c r="O23" s="53">
        <f t="shared" si="6"/>
        <v>0</v>
      </c>
      <c r="P23" s="54">
        <f>COUNTIF(Vertices[Eigenvector Centrality], "&gt;= " &amp; O23) - COUNTIF(Vertices[Eigenvector Centrality], "&gt;=" &amp; O24)</f>
        <v>0</v>
      </c>
      <c r="Q23" s="53">
        <f t="shared" si="7"/>
        <v>0</v>
      </c>
      <c r="R23" s="54">
        <f>COUNTIF(Vertices[PageRank], "&gt;= " &amp; Q23) - COUNTIF(Vertices[PageRank], "&gt;=" &amp; Q24)</f>
        <v>0</v>
      </c>
      <c r="S23" s="53">
        <f t="shared" si="8"/>
        <v>0</v>
      </c>
      <c r="T23" s="58">
        <f>COUNTIF(Vertices[Clustering Coefficient], "&gt;= " &amp; S23) - COUNTIF(Vertices[Clustering Coefficient], "&gt;=" &amp; S24)</f>
        <v>0</v>
      </c>
      <c r="U23" s="53" t="e">
        <f t="shared" ca="1" si="9"/>
        <v>#REF!</v>
      </c>
      <c r="V23" s="54" t="e">
        <f t="shared" ca="1" si="0"/>
        <v>#REF!</v>
      </c>
    </row>
    <row r="24" spans="1:22">
      <c r="E24" s="46">
        <f t="shared" si="1"/>
        <v>0</v>
      </c>
      <c r="F24" s="3">
        <f>COUNTIF(Vertices[Degree], "&gt;= " &amp; E24) - COUNTIF(Vertices[Degree], "&gt;=" &amp; E25)</f>
        <v>0</v>
      </c>
      <c r="G24" s="51">
        <f t="shared" si="2"/>
        <v>0</v>
      </c>
      <c r="H24" s="52">
        <f>COUNTIF(Vertices[In-Degree], "&gt;= " &amp; G24) - COUNTIF(Vertices[In-Degree], "&gt;=" &amp; G25)</f>
        <v>0</v>
      </c>
      <c r="I24" s="51">
        <f t="shared" si="3"/>
        <v>0</v>
      </c>
      <c r="J24" s="52">
        <f>COUNTIF(Vertices[Out-Degree], "&gt;= " &amp; I24) - COUNTIF(Vertices[Out-Degree], "&gt;=" &amp; I25)</f>
        <v>0</v>
      </c>
      <c r="K24" s="51">
        <f t="shared" si="4"/>
        <v>0</v>
      </c>
      <c r="L24" s="52">
        <f>COUNTIF(Vertices[Betweenness Centrality], "&gt;= " &amp; K24) - COUNTIF(Vertices[Betweenness Centrality], "&gt;=" &amp; K25)</f>
        <v>0</v>
      </c>
      <c r="M24" s="51">
        <f t="shared" si="5"/>
        <v>0</v>
      </c>
      <c r="N24" s="52">
        <f>COUNTIF(Vertices[Closeness Centrality], "&gt;= " &amp; M24) - COUNTIF(Vertices[Closeness Centrality], "&gt;=" &amp; M25)</f>
        <v>0</v>
      </c>
      <c r="O24" s="51">
        <f t="shared" si="6"/>
        <v>0</v>
      </c>
      <c r="P24" s="52">
        <f>COUNTIF(Vertices[Eigenvector Centrality], "&gt;= " &amp; O24) - COUNTIF(Vertices[Eigenvector Centrality], "&gt;=" &amp; O25)</f>
        <v>0</v>
      </c>
      <c r="Q24" s="51">
        <f t="shared" si="7"/>
        <v>0</v>
      </c>
      <c r="R24" s="52">
        <f>COUNTIF(Vertices[PageRank], "&gt;= " &amp; Q24) - COUNTIF(Vertices[PageRank], "&gt;=" &amp; Q25)</f>
        <v>0</v>
      </c>
      <c r="S24" s="51">
        <f t="shared" si="8"/>
        <v>0</v>
      </c>
      <c r="T24" s="57">
        <f>COUNTIF(Vertices[Clustering Coefficient], "&gt;= " &amp; S24) - COUNTIF(Vertices[Clustering Coefficient], "&gt;=" &amp; S25)</f>
        <v>0</v>
      </c>
      <c r="U24" s="51" t="e">
        <f t="shared" ca="1" si="9"/>
        <v>#REF!</v>
      </c>
      <c r="V24" s="52" t="e">
        <f t="shared" ca="1" si="0"/>
        <v>#REF!</v>
      </c>
    </row>
    <row r="25" spans="1:22">
      <c r="E25" s="46">
        <f t="shared" si="1"/>
        <v>0</v>
      </c>
      <c r="F25" s="3">
        <f>COUNTIF(Vertices[Degree], "&gt;= " &amp; E25) - COUNTIF(Vertices[Degree], "&gt;=" &amp; E26)</f>
        <v>0</v>
      </c>
      <c r="G25" s="53">
        <f t="shared" si="2"/>
        <v>0</v>
      </c>
      <c r="H25" s="54">
        <f>COUNTIF(Vertices[In-Degree], "&gt;= " &amp; G25) - COUNTIF(Vertices[In-Degree], "&gt;=" &amp; G26)</f>
        <v>0</v>
      </c>
      <c r="I25" s="53">
        <f t="shared" si="3"/>
        <v>0</v>
      </c>
      <c r="J25" s="54">
        <f>COUNTIF(Vertices[Out-Degree], "&gt;= " &amp; I25) - COUNTIF(Vertices[Out-Degree], "&gt;=" &amp; I26)</f>
        <v>0</v>
      </c>
      <c r="K25" s="53">
        <f t="shared" si="4"/>
        <v>0</v>
      </c>
      <c r="L25" s="54">
        <f>COUNTIF(Vertices[Betweenness Centrality], "&gt;= " &amp; K25) - COUNTIF(Vertices[Betweenness Centrality], "&gt;=" &amp; K26)</f>
        <v>0</v>
      </c>
      <c r="M25" s="53">
        <f t="shared" si="5"/>
        <v>0</v>
      </c>
      <c r="N25" s="54">
        <f>COUNTIF(Vertices[Closeness Centrality], "&gt;= " &amp; M25) - COUNTIF(Vertices[Closeness Centrality], "&gt;=" &amp; M26)</f>
        <v>0</v>
      </c>
      <c r="O25" s="53">
        <f t="shared" si="6"/>
        <v>0</v>
      </c>
      <c r="P25" s="54">
        <f>COUNTIF(Vertices[Eigenvector Centrality], "&gt;= " &amp; O25) - COUNTIF(Vertices[Eigenvector Centrality], "&gt;=" &amp; O26)</f>
        <v>0</v>
      </c>
      <c r="Q25" s="53">
        <f t="shared" si="7"/>
        <v>0</v>
      </c>
      <c r="R25" s="54">
        <f>COUNTIF(Vertices[PageRank], "&gt;= " &amp; Q25) - COUNTIF(Vertices[PageRank], "&gt;=" &amp; Q26)</f>
        <v>0</v>
      </c>
      <c r="S25" s="53">
        <f t="shared" si="8"/>
        <v>0</v>
      </c>
      <c r="T25" s="58">
        <f>COUNTIF(Vertices[Clustering Coefficient], "&gt;= " &amp; S25) - COUNTIF(Vertices[Clustering Coefficient], "&gt;=" &amp; S26)</f>
        <v>0</v>
      </c>
      <c r="U25" s="53" t="e">
        <f t="shared" ca="1" si="9"/>
        <v>#REF!</v>
      </c>
      <c r="V25" s="54" t="e">
        <f t="shared" ca="1" si="0"/>
        <v>#REF!</v>
      </c>
    </row>
    <row r="26" spans="1:22">
      <c r="E26" s="46">
        <f t="shared" si="1"/>
        <v>0</v>
      </c>
      <c r="F26" s="3">
        <f>COUNTIF(Vertices[Degree], "&gt;= " &amp; E26) - COUNTIF(Vertices[Degree], "&gt;=" &amp; E27)</f>
        <v>0</v>
      </c>
      <c r="G26" s="51">
        <f t="shared" si="2"/>
        <v>0</v>
      </c>
      <c r="H26" s="52">
        <f>COUNTIF(Vertices[In-Degree], "&gt;= " &amp; G26) - COUNTIF(Vertices[In-Degree], "&gt;=" &amp; G27)</f>
        <v>0</v>
      </c>
      <c r="I26" s="51">
        <f t="shared" si="3"/>
        <v>0</v>
      </c>
      <c r="J26" s="52">
        <f>COUNTIF(Vertices[Out-Degree], "&gt;= " &amp; I26) - COUNTIF(Vertices[Out-Degree], "&gt;=" &amp; I27)</f>
        <v>0</v>
      </c>
      <c r="K26" s="51">
        <f t="shared" si="4"/>
        <v>0</v>
      </c>
      <c r="L26" s="52">
        <f>COUNTIF(Vertices[Betweenness Centrality], "&gt;= " &amp; K26) - COUNTIF(Vertices[Betweenness Centrality], "&gt;=" &amp; K27)</f>
        <v>0</v>
      </c>
      <c r="M26" s="51">
        <f t="shared" si="5"/>
        <v>0</v>
      </c>
      <c r="N26" s="52">
        <f>COUNTIF(Vertices[Closeness Centrality], "&gt;= " &amp; M26) - COUNTIF(Vertices[Closeness Centrality], "&gt;=" &amp; M27)</f>
        <v>0</v>
      </c>
      <c r="O26" s="51">
        <f t="shared" si="6"/>
        <v>0</v>
      </c>
      <c r="P26" s="52">
        <f>COUNTIF(Vertices[Eigenvector Centrality], "&gt;= " &amp; O26) - COUNTIF(Vertices[Eigenvector Centrality], "&gt;=" &amp; O27)</f>
        <v>0</v>
      </c>
      <c r="Q26" s="51">
        <f t="shared" si="7"/>
        <v>0</v>
      </c>
      <c r="R26" s="52">
        <f>COUNTIF(Vertices[PageRank], "&gt;= " &amp; Q26) - COUNTIF(Vertices[PageRank], "&gt;=" &amp; Q27)</f>
        <v>0</v>
      </c>
      <c r="S26" s="51">
        <f t="shared" si="8"/>
        <v>0</v>
      </c>
      <c r="T26" s="57">
        <f>COUNTIF(Vertices[Clustering Coefficient], "&gt;= " &amp; S26) - COUNTIF(Vertices[Clustering Coefficient], "&gt;=" &amp; S27)</f>
        <v>0</v>
      </c>
      <c r="U26" s="51" t="e">
        <f t="shared" ca="1" si="9"/>
        <v>#REF!</v>
      </c>
      <c r="V26" s="52" t="e">
        <f t="shared" ca="1" si="0"/>
        <v>#REF!</v>
      </c>
    </row>
    <row r="27" spans="1:22">
      <c r="E27" s="46">
        <f t="shared" si="1"/>
        <v>0</v>
      </c>
      <c r="F27" s="3">
        <f>COUNTIF(Vertices[Degree], "&gt;= " &amp; E27) - COUNTIF(Vertices[Degree], "&gt;=" &amp; E28)</f>
        <v>0</v>
      </c>
      <c r="G27" s="53">
        <f t="shared" si="2"/>
        <v>0</v>
      </c>
      <c r="H27" s="54">
        <f>COUNTIF(Vertices[In-Degree], "&gt;= " &amp; G27) - COUNTIF(Vertices[In-Degree], "&gt;=" &amp; G28)</f>
        <v>0</v>
      </c>
      <c r="I27" s="53">
        <f t="shared" si="3"/>
        <v>0</v>
      </c>
      <c r="J27" s="54">
        <f>COUNTIF(Vertices[Out-Degree], "&gt;= " &amp; I27) - COUNTIF(Vertices[Out-Degree], "&gt;=" &amp; I28)</f>
        <v>0</v>
      </c>
      <c r="K27" s="53">
        <f t="shared" si="4"/>
        <v>0</v>
      </c>
      <c r="L27" s="54">
        <f>COUNTIF(Vertices[Betweenness Centrality], "&gt;= " &amp; K27) - COUNTIF(Vertices[Betweenness Centrality], "&gt;=" &amp; K28)</f>
        <v>0</v>
      </c>
      <c r="M27" s="53">
        <f t="shared" si="5"/>
        <v>0</v>
      </c>
      <c r="N27" s="54">
        <f>COUNTIF(Vertices[Closeness Centrality], "&gt;= " &amp; M27) - COUNTIF(Vertices[Closeness Centrality], "&gt;=" &amp; M28)</f>
        <v>0</v>
      </c>
      <c r="O27" s="53">
        <f t="shared" si="6"/>
        <v>0</v>
      </c>
      <c r="P27" s="54">
        <f>COUNTIF(Vertices[Eigenvector Centrality], "&gt;= " &amp; O27) - COUNTIF(Vertices[Eigenvector Centrality], "&gt;=" &amp; O28)</f>
        <v>0</v>
      </c>
      <c r="Q27" s="53">
        <f t="shared" si="7"/>
        <v>0</v>
      </c>
      <c r="R27" s="54">
        <f>COUNTIF(Vertices[PageRank], "&gt;= " &amp; Q27) - COUNTIF(Vertices[PageRank], "&gt;=" &amp; Q28)</f>
        <v>0</v>
      </c>
      <c r="S27" s="53">
        <f t="shared" si="8"/>
        <v>0</v>
      </c>
      <c r="T27" s="58">
        <f>COUNTIF(Vertices[Clustering Coefficient], "&gt;= " &amp; S27) - COUNTIF(Vertices[Clustering Coefficient], "&gt;=" &amp; S28)</f>
        <v>0</v>
      </c>
      <c r="U27" s="53" t="e">
        <f t="shared" ca="1" si="9"/>
        <v>#REF!</v>
      </c>
      <c r="V27" s="54" t="e">
        <f t="shared" ca="1" si="0"/>
        <v>#REF!</v>
      </c>
    </row>
    <row r="28" spans="1:22">
      <c r="E28" s="46">
        <f t="shared" si="1"/>
        <v>0</v>
      </c>
      <c r="F28" s="3">
        <f>COUNTIF(Vertices[Degree], "&gt;= " &amp; E28) - COUNTIF(Vertices[Degree], "&gt;=" &amp; E29)</f>
        <v>0</v>
      </c>
      <c r="G28" s="51">
        <f t="shared" si="2"/>
        <v>0</v>
      </c>
      <c r="H28" s="52">
        <f>COUNTIF(Vertices[In-Degree], "&gt;= " &amp; G28) - COUNTIF(Vertices[In-Degree], "&gt;=" &amp; G29)</f>
        <v>0</v>
      </c>
      <c r="I28" s="51">
        <f t="shared" si="3"/>
        <v>0</v>
      </c>
      <c r="J28" s="52">
        <f>COUNTIF(Vertices[Out-Degree], "&gt;= " &amp; I28) - COUNTIF(Vertices[Out-Degree], "&gt;=" &amp; I29)</f>
        <v>0</v>
      </c>
      <c r="K28" s="51">
        <f t="shared" si="4"/>
        <v>0</v>
      </c>
      <c r="L28" s="52">
        <f>COUNTIF(Vertices[Betweenness Centrality], "&gt;= " &amp; K28) - COUNTIF(Vertices[Betweenness Centrality], "&gt;=" &amp; K29)</f>
        <v>0</v>
      </c>
      <c r="M28" s="51">
        <f t="shared" si="5"/>
        <v>0</v>
      </c>
      <c r="N28" s="52">
        <f>COUNTIF(Vertices[Closeness Centrality], "&gt;= " &amp; M28) - COUNTIF(Vertices[Closeness Centrality], "&gt;=" &amp; M29)</f>
        <v>0</v>
      </c>
      <c r="O28" s="51">
        <f t="shared" si="6"/>
        <v>0</v>
      </c>
      <c r="P28" s="52">
        <f>COUNTIF(Vertices[Eigenvector Centrality], "&gt;= " &amp; O28) - COUNTIF(Vertices[Eigenvector Centrality], "&gt;=" &amp; O29)</f>
        <v>0</v>
      </c>
      <c r="Q28" s="51">
        <f t="shared" si="7"/>
        <v>0</v>
      </c>
      <c r="R28" s="52">
        <f>COUNTIF(Vertices[PageRank], "&gt;= " &amp; Q28) - COUNTIF(Vertices[PageRank], "&gt;=" &amp; Q29)</f>
        <v>0</v>
      </c>
      <c r="S28" s="51">
        <f t="shared" si="8"/>
        <v>0</v>
      </c>
      <c r="T28" s="57">
        <f>COUNTIF(Vertices[Clustering Coefficient], "&gt;= " &amp; S28) - COUNTIF(Vertices[Clustering Coefficient], "&gt;=" &amp; S29)</f>
        <v>0</v>
      </c>
      <c r="U28" s="51" t="e">
        <f t="shared" ca="1" si="9"/>
        <v>#REF!</v>
      </c>
      <c r="V28" s="52" t="e">
        <f t="shared" ca="1" si="0"/>
        <v>#REF!</v>
      </c>
    </row>
    <row r="29" spans="1:22">
      <c r="E29" s="46">
        <f t="shared" si="1"/>
        <v>0</v>
      </c>
      <c r="F29" s="3">
        <f>COUNTIF(Vertices[Degree], "&gt;= " &amp; E29) - COUNTIF(Vertices[Degree], "&gt;=" &amp; E30)</f>
        <v>0</v>
      </c>
      <c r="G29" s="53">
        <f t="shared" si="2"/>
        <v>0</v>
      </c>
      <c r="H29" s="54">
        <f>COUNTIF(Vertices[In-Degree], "&gt;= " &amp; G29) - COUNTIF(Vertices[In-Degree], "&gt;=" &amp; G30)</f>
        <v>0</v>
      </c>
      <c r="I29" s="53">
        <f t="shared" si="3"/>
        <v>0</v>
      </c>
      <c r="J29" s="54">
        <f>COUNTIF(Vertices[Out-Degree], "&gt;= " &amp; I29) - COUNTIF(Vertices[Out-Degree], "&gt;=" &amp; I30)</f>
        <v>0</v>
      </c>
      <c r="K29" s="53">
        <f t="shared" si="4"/>
        <v>0</v>
      </c>
      <c r="L29" s="54">
        <f>COUNTIF(Vertices[Betweenness Centrality], "&gt;= " &amp; K29) - COUNTIF(Vertices[Betweenness Centrality], "&gt;=" &amp; K30)</f>
        <v>0</v>
      </c>
      <c r="M29" s="53">
        <f t="shared" si="5"/>
        <v>0</v>
      </c>
      <c r="N29" s="54">
        <f>COUNTIF(Vertices[Closeness Centrality], "&gt;= " &amp; M29) - COUNTIF(Vertices[Closeness Centrality], "&gt;=" &amp; M30)</f>
        <v>0</v>
      </c>
      <c r="O29" s="53">
        <f t="shared" si="6"/>
        <v>0</v>
      </c>
      <c r="P29" s="54">
        <f>COUNTIF(Vertices[Eigenvector Centrality], "&gt;= " &amp; O29) - COUNTIF(Vertices[Eigenvector Centrality], "&gt;=" &amp; O30)</f>
        <v>0</v>
      </c>
      <c r="Q29" s="53">
        <f t="shared" si="7"/>
        <v>0</v>
      </c>
      <c r="R29" s="54">
        <f>COUNTIF(Vertices[PageRank], "&gt;= " &amp; Q29) - COUNTIF(Vertices[PageRank], "&gt;=" &amp; Q30)</f>
        <v>0</v>
      </c>
      <c r="S29" s="53">
        <f t="shared" si="8"/>
        <v>0</v>
      </c>
      <c r="T29" s="58">
        <f>COUNTIF(Vertices[Clustering Coefficient], "&gt;= " &amp; S29) - COUNTIF(Vertices[Clustering Coefficient], "&gt;=" &amp; S30)</f>
        <v>0</v>
      </c>
      <c r="U29" s="53" t="e">
        <f t="shared" ca="1" si="9"/>
        <v>#REF!</v>
      </c>
      <c r="V29" s="54" t="e">
        <f t="shared" ca="1" si="0"/>
        <v>#REF!</v>
      </c>
    </row>
    <row r="30" spans="1:22">
      <c r="E30" s="46">
        <f t="shared" si="1"/>
        <v>0</v>
      </c>
      <c r="F30" s="3">
        <f>COUNTIF(Vertices[Degree], "&gt;= " &amp; E30) - COUNTIF(Vertices[Degree], "&gt;=" &amp; E31)</f>
        <v>0</v>
      </c>
      <c r="G30" s="51">
        <f t="shared" si="2"/>
        <v>0</v>
      </c>
      <c r="H30" s="52">
        <f>COUNTIF(Vertices[In-Degree], "&gt;= " &amp; G30) - COUNTIF(Vertices[In-Degree], "&gt;=" &amp; G31)</f>
        <v>0</v>
      </c>
      <c r="I30" s="51">
        <f t="shared" si="3"/>
        <v>0</v>
      </c>
      <c r="J30" s="52">
        <f>COUNTIF(Vertices[Out-Degree], "&gt;= " &amp; I30) - COUNTIF(Vertices[Out-Degree], "&gt;=" &amp; I31)</f>
        <v>0</v>
      </c>
      <c r="K30" s="51">
        <f t="shared" si="4"/>
        <v>0</v>
      </c>
      <c r="L30" s="52">
        <f>COUNTIF(Vertices[Betweenness Centrality], "&gt;= " &amp; K30) - COUNTIF(Vertices[Betweenness Centrality], "&gt;=" &amp; K31)</f>
        <v>0</v>
      </c>
      <c r="M30" s="51">
        <f t="shared" si="5"/>
        <v>0</v>
      </c>
      <c r="N30" s="52">
        <f>COUNTIF(Vertices[Closeness Centrality], "&gt;= " &amp; M30) - COUNTIF(Vertices[Closeness Centrality], "&gt;=" &amp; M31)</f>
        <v>0</v>
      </c>
      <c r="O30" s="51">
        <f t="shared" si="6"/>
        <v>0</v>
      </c>
      <c r="P30" s="52">
        <f>COUNTIF(Vertices[Eigenvector Centrality], "&gt;= " &amp; O30) - COUNTIF(Vertices[Eigenvector Centrality], "&gt;=" &amp; O31)</f>
        <v>0</v>
      </c>
      <c r="Q30" s="51">
        <f t="shared" si="7"/>
        <v>0</v>
      </c>
      <c r="R30" s="52">
        <f>COUNTIF(Vertices[PageRank], "&gt;= " &amp; Q30) - COUNTIF(Vertices[PageRank], "&gt;=" &amp; Q31)</f>
        <v>0</v>
      </c>
      <c r="S30" s="51">
        <f t="shared" si="8"/>
        <v>0</v>
      </c>
      <c r="T30" s="57">
        <f>COUNTIF(Vertices[Clustering Coefficient], "&gt;= " &amp; S30) - COUNTIF(Vertices[Clustering Coefficient], "&gt;=" &amp; S31)</f>
        <v>0</v>
      </c>
      <c r="U30" s="51" t="e">
        <f t="shared" ca="1" si="9"/>
        <v>#REF!</v>
      </c>
      <c r="V30" s="52" t="e">
        <f t="shared" ca="1" si="0"/>
        <v>#REF!</v>
      </c>
    </row>
    <row r="31" spans="1:22">
      <c r="E31" s="46">
        <f t="shared" si="1"/>
        <v>0</v>
      </c>
      <c r="F31" s="3">
        <f>COUNTIF(Vertices[Degree], "&gt;= " &amp; E31) - COUNTIF(Vertices[Degree], "&gt;=" &amp; E32)</f>
        <v>0</v>
      </c>
      <c r="G31" s="53">
        <f t="shared" si="2"/>
        <v>0</v>
      </c>
      <c r="H31" s="54">
        <f>COUNTIF(Vertices[In-Degree], "&gt;= " &amp; G31) - COUNTIF(Vertices[In-Degree], "&gt;=" &amp; G32)</f>
        <v>0</v>
      </c>
      <c r="I31" s="53">
        <f t="shared" si="3"/>
        <v>0</v>
      </c>
      <c r="J31" s="54">
        <f>COUNTIF(Vertices[Out-Degree], "&gt;= " &amp; I31) - COUNTIF(Vertices[Out-Degree], "&gt;=" &amp; I32)</f>
        <v>0</v>
      </c>
      <c r="K31" s="53">
        <f t="shared" si="4"/>
        <v>0</v>
      </c>
      <c r="L31" s="54">
        <f>COUNTIF(Vertices[Betweenness Centrality], "&gt;= " &amp; K31) - COUNTIF(Vertices[Betweenness Centrality], "&gt;=" &amp; K32)</f>
        <v>0</v>
      </c>
      <c r="M31" s="53">
        <f t="shared" si="5"/>
        <v>0</v>
      </c>
      <c r="N31" s="54">
        <f>COUNTIF(Vertices[Closeness Centrality], "&gt;= " &amp; M31) - COUNTIF(Vertices[Closeness Centrality], "&gt;=" &amp; M32)</f>
        <v>0</v>
      </c>
      <c r="O31" s="53">
        <f t="shared" si="6"/>
        <v>0</v>
      </c>
      <c r="P31" s="54">
        <f>COUNTIF(Vertices[Eigenvector Centrality], "&gt;= " &amp; O31) - COUNTIF(Vertices[Eigenvector Centrality], "&gt;=" &amp; O32)</f>
        <v>0</v>
      </c>
      <c r="Q31" s="53">
        <f t="shared" si="7"/>
        <v>0</v>
      </c>
      <c r="R31" s="54">
        <f>COUNTIF(Vertices[PageRank], "&gt;= " &amp; Q31) - COUNTIF(Vertices[PageRank], "&gt;=" &amp; Q32)</f>
        <v>0</v>
      </c>
      <c r="S31" s="53">
        <f t="shared" si="8"/>
        <v>0</v>
      </c>
      <c r="T31" s="58">
        <f>COUNTIF(Vertices[Clustering Coefficient], "&gt;= " &amp; S31) - COUNTIF(Vertices[Clustering Coefficient], "&gt;=" &amp; S32)</f>
        <v>0</v>
      </c>
      <c r="U31" s="53" t="e">
        <f t="shared" ca="1" si="9"/>
        <v>#REF!</v>
      </c>
      <c r="V31" s="54" t="e">
        <f t="shared" ca="1" si="0"/>
        <v>#REF!</v>
      </c>
    </row>
    <row r="32" spans="1:22">
      <c r="E32" s="46">
        <f t="shared" si="1"/>
        <v>0</v>
      </c>
      <c r="F32" s="3">
        <f>COUNTIF(Vertices[Degree], "&gt;= " &amp; E32) - COUNTIF(Vertices[Degree], "&gt;=" &amp; E33)</f>
        <v>0</v>
      </c>
      <c r="G32" s="51">
        <f t="shared" si="2"/>
        <v>0</v>
      </c>
      <c r="H32" s="52">
        <f>COUNTIF(Vertices[In-Degree], "&gt;= " &amp; G32) - COUNTIF(Vertices[In-Degree], "&gt;=" &amp; G33)</f>
        <v>0</v>
      </c>
      <c r="I32" s="51">
        <f t="shared" si="3"/>
        <v>0</v>
      </c>
      <c r="J32" s="52">
        <f>COUNTIF(Vertices[Out-Degree], "&gt;= " &amp; I32) - COUNTIF(Vertices[Out-Degree], "&gt;=" &amp; I33)</f>
        <v>0</v>
      </c>
      <c r="K32" s="51">
        <f t="shared" si="4"/>
        <v>0</v>
      </c>
      <c r="L32" s="52">
        <f>COUNTIF(Vertices[Betweenness Centrality], "&gt;= " &amp; K32) - COUNTIF(Vertices[Betweenness Centrality], "&gt;=" &amp; K33)</f>
        <v>0</v>
      </c>
      <c r="M32" s="51">
        <f t="shared" si="5"/>
        <v>0</v>
      </c>
      <c r="N32" s="52">
        <f>COUNTIF(Vertices[Closeness Centrality], "&gt;= " &amp; M32) - COUNTIF(Vertices[Closeness Centrality], "&gt;=" &amp; M33)</f>
        <v>0</v>
      </c>
      <c r="O32" s="51">
        <f t="shared" si="6"/>
        <v>0</v>
      </c>
      <c r="P32" s="52">
        <f>COUNTIF(Vertices[Eigenvector Centrality], "&gt;= " &amp; O32) - COUNTIF(Vertices[Eigenvector Centrality], "&gt;=" &amp; O33)</f>
        <v>0</v>
      </c>
      <c r="Q32" s="51">
        <f t="shared" si="7"/>
        <v>0</v>
      </c>
      <c r="R32" s="52">
        <f>COUNTIF(Vertices[PageRank], "&gt;= " &amp; Q32) - COUNTIF(Vertices[PageRank], "&gt;=" &amp; Q33)</f>
        <v>0</v>
      </c>
      <c r="S32" s="51">
        <f t="shared" si="8"/>
        <v>0</v>
      </c>
      <c r="T32" s="57">
        <f>COUNTIF(Vertices[Clustering Coefficient], "&gt;= " &amp; S32) - COUNTIF(Vertices[Clustering Coefficient], "&gt;=" &amp; S33)</f>
        <v>0</v>
      </c>
      <c r="U32" s="51" t="e">
        <f t="shared" ca="1" si="9"/>
        <v>#REF!</v>
      </c>
      <c r="V32" s="52" t="e">
        <f t="shared" ca="1" si="0"/>
        <v>#REF!</v>
      </c>
    </row>
    <row r="33" spans="1:22">
      <c r="A33" s="47" t="s">
        <v>96</v>
      </c>
      <c r="B33" s="60" t="str">
        <f>IF(COUNT(Vertices[Degree])&gt;0, E2, NoMetricMessage)</f>
        <v>Not Available</v>
      </c>
      <c r="E33" s="46">
        <f t="shared" si="1"/>
        <v>0</v>
      </c>
      <c r="F33" s="3">
        <f>COUNTIF(Vertices[Degree], "&gt;= " &amp; E33) - COUNTIF(Vertices[Degree], "&gt;=" &amp; E34)</f>
        <v>0</v>
      </c>
      <c r="G33" s="53">
        <f t="shared" si="2"/>
        <v>0</v>
      </c>
      <c r="H33" s="54">
        <f>COUNTIF(Vertices[In-Degree], "&gt;= " &amp; G33) - COUNTIF(Vertices[In-Degree], "&gt;=" &amp; G34)</f>
        <v>0</v>
      </c>
      <c r="I33" s="53">
        <f t="shared" si="3"/>
        <v>0</v>
      </c>
      <c r="J33" s="54">
        <f>COUNTIF(Vertices[Out-Degree], "&gt;= " &amp; I33) - COUNTIF(Vertices[Out-Degree], "&gt;=" &amp; I34)</f>
        <v>0</v>
      </c>
      <c r="K33" s="53">
        <f t="shared" si="4"/>
        <v>0</v>
      </c>
      <c r="L33" s="54">
        <f>COUNTIF(Vertices[Betweenness Centrality], "&gt;= " &amp; K33) - COUNTIF(Vertices[Betweenness Centrality], "&gt;=" &amp; K34)</f>
        <v>0</v>
      </c>
      <c r="M33" s="53">
        <f t="shared" si="5"/>
        <v>0</v>
      </c>
      <c r="N33" s="54">
        <f>COUNTIF(Vertices[Closeness Centrality], "&gt;= " &amp; M33) - COUNTIF(Vertices[Closeness Centrality], "&gt;=" &amp; M34)</f>
        <v>0</v>
      </c>
      <c r="O33" s="53">
        <f t="shared" si="6"/>
        <v>0</v>
      </c>
      <c r="P33" s="54">
        <f>COUNTIF(Vertices[Eigenvector Centrality], "&gt;= " &amp; O33) - COUNTIF(Vertices[Eigenvector Centrality], "&gt;=" &amp; O34)</f>
        <v>0</v>
      </c>
      <c r="Q33" s="53">
        <f t="shared" si="7"/>
        <v>0</v>
      </c>
      <c r="R33" s="54">
        <f>COUNTIF(Vertices[PageRank], "&gt;= " &amp; Q33) - COUNTIF(Vertices[PageRank], "&gt;=" &amp; Q34)</f>
        <v>0</v>
      </c>
      <c r="S33" s="53">
        <f t="shared" si="8"/>
        <v>0</v>
      </c>
      <c r="T33" s="58">
        <f>COUNTIF(Vertices[Clustering Coefficient], "&gt;= " &amp; S33) - COUNTIF(Vertices[Clustering Coefficient], "&gt;=" &amp; S34)</f>
        <v>0</v>
      </c>
      <c r="U33" s="53" t="e">
        <f t="shared" ca="1" si="9"/>
        <v>#REF!</v>
      </c>
      <c r="V33" s="54" t="e">
        <f t="shared" ca="1" si="0"/>
        <v>#REF!</v>
      </c>
    </row>
    <row r="34" spans="1:22">
      <c r="A34" s="47" t="s">
        <v>97</v>
      </c>
      <c r="B34" s="60" t="str">
        <f>IF(COUNT(Vertices[Degree])&gt;0, E45, NoMetricMessage)</f>
        <v>Not Available</v>
      </c>
      <c r="E34" s="46">
        <f t="shared" si="1"/>
        <v>0</v>
      </c>
      <c r="F34" s="3">
        <f>COUNTIF(Vertices[Degree], "&gt;= " &amp; E34) - COUNTIF(Vertices[Degree], "&gt;=" &amp; E35)</f>
        <v>0</v>
      </c>
      <c r="G34" s="51">
        <f t="shared" si="2"/>
        <v>0</v>
      </c>
      <c r="H34" s="52">
        <f>COUNTIF(Vertices[In-Degree], "&gt;= " &amp; G34) - COUNTIF(Vertices[In-Degree], "&gt;=" &amp; G35)</f>
        <v>0</v>
      </c>
      <c r="I34" s="51">
        <f t="shared" si="3"/>
        <v>0</v>
      </c>
      <c r="J34" s="52">
        <f>COUNTIF(Vertices[Out-Degree], "&gt;= " &amp; I34) - COUNTIF(Vertices[Out-Degree], "&gt;=" &amp; I35)</f>
        <v>0</v>
      </c>
      <c r="K34" s="51">
        <f t="shared" si="4"/>
        <v>0</v>
      </c>
      <c r="L34" s="52">
        <f>COUNTIF(Vertices[Betweenness Centrality], "&gt;= " &amp; K34) - COUNTIF(Vertices[Betweenness Centrality], "&gt;=" &amp; K35)</f>
        <v>0</v>
      </c>
      <c r="M34" s="51">
        <f t="shared" si="5"/>
        <v>0</v>
      </c>
      <c r="N34" s="52">
        <f>COUNTIF(Vertices[Closeness Centrality], "&gt;= " &amp; M34) - COUNTIF(Vertices[Closeness Centrality], "&gt;=" &amp; M35)</f>
        <v>0</v>
      </c>
      <c r="O34" s="51">
        <f t="shared" si="6"/>
        <v>0</v>
      </c>
      <c r="P34" s="52">
        <f>COUNTIF(Vertices[Eigenvector Centrality], "&gt;= " &amp; O34) - COUNTIF(Vertices[Eigenvector Centrality], "&gt;=" &amp; O35)</f>
        <v>0</v>
      </c>
      <c r="Q34" s="51">
        <f t="shared" si="7"/>
        <v>0</v>
      </c>
      <c r="R34" s="52">
        <f>COUNTIF(Vertices[PageRank], "&gt;= " &amp; Q34) - COUNTIF(Vertices[PageRank], "&gt;=" &amp; Q35)</f>
        <v>0</v>
      </c>
      <c r="S34" s="51">
        <f t="shared" si="8"/>
        <v>0</v>
      </c>
      <c r="T34" s="57">
        <f>COUNTIF(Vertices[Clustering Coefficient], "&gt;= " &amp; S34) - COUNTIF(Vertices[Clustering Coefficient], "&gt;=" &amp; S35)</f>
        <v>0</v>
      </c>
      <c r="U34" s="51" t="e">
        <f t="shared" ca="1" si="9"/>
        <v>#REF!</v>
      </c>
      <c r="V34" s="52" t="e">
        <f t="shared" ca="1" si="0"/>
        <v>#REF!</v>
      </c>
    </row>
    <row r="35" spans="1:22">
      <c r="A35" s="47" t="s">
        <v>98</v>
      </c>
      <c r="B35" s="61" t="str">
        <f>IFERROR(AVERAGE(Vertices[Degree]),NoMetricMessage)</f>
        <v>Not Available</v>
      </c>
      <c r="E35" s="46">
        <f t="shared" si="1"/>
        <v>0</v>
      </c>
      <c r="F35" s="3">
        <f>COUNTIF(Vertices[Degree], "&gt;= " &amp; E35) - COUNTIF(Vertices[Degree], "&gt;=" &amp; E36)</f>
        <v>0</v>
      </c>
      <c r="G35" s="53">
        <f t="shared" si="2"/>
        <v>0</v>
      </c>
      <c r="H35" s="54">
        <f>COUNTIF(Vertices[In-Degree], "&gt;= " &amp; G35) - COUNTIF(Vertices[In-Degree], "&gt;=" &amp; G36)</f>
        <v>0</v>
      </c>
      <c r="I35" s="53">
        <f t="shared" si="3"/>
        <v>0</v>
      </c>
      <c r="J35" s="54">
        <f>COUNTIF(Vertices[Out-Degree], "&gt;= " &amp; I35) - COUNTIF(Vertices[Out-Degree], "&gt;=" &amp; I36)</f>
        <v>0</v>
      </c>
      <c r="K35" s="53">
        <f t="shared" si="4"/>
        <v>0</v>
      </c>
      <c r="L35" s="54">
        <f>COUNTIF(Vertices[Betweenness Centrality], "&gt;= " &amp; K35) - COUNTIF(Vertices[Betweenness Centrality], "&gt;=" &amp; K36)</f>
        <v>0</v>
      </c>
      <c r="M35" s="53">
        <f t="shared" si="5"/>
        <v>0</v>
      </c>
      <c r="N35" s="54">
        <f>COUNTIF(Vertices[Closeness Centrality], "&gt;= " &amp; M35) - COUNTIF(Vertices[Closeness Centrality], "&gt;=" &amp; M36)</f>
        <v>0</v>
      </c>
      <c r="O35" s="53">
        <f t="shared" si="6"/>
        <v>0</v>
      </c>
      <c r="P35" s="54">
        <f>COUNTIF(Vertices[Eigenvector Centrality], "&gt;= " &amp; O35) - COUNTIF(Vertices[Eigenvector Centrality], "&gt;=" &amp; O36)</f>
        <v>0</v>
      </c>
      <c r="Q35" s="53">
        <f t="shared" si="7"/>
        <v>0</v>
      </c>
      <c r="R35" s="54">
        <f>COUNTIF(Vertices[PageRank], "&gt;= " &amp; Q35) - COUNTIF(Vertices[PageRank], "&gt;=" &amp; Q36)</f>
        <v>0</v>
      </c>
      <c r="S35" s="53">
        <f t="shared" si="8"/>
        <v>0</v>
      </c>
      <c r="T35" s="58">
        <f>COUNTIF(Vertices[Clustering Coefficient], "&gt;= " &amp; S35) - COUNTIF(Vertices[Clustering Coefficient], "&gt;=" &amp; S36)</f>
        <v>0</v>
      </c>
      <c r="U35" s="53" t="e">
        <f t="shared" ca="1" si="9"/>
        <v>#REF!</v>
      </c>
      <c r="V35" s="54" t="e">
        <f t="shared" ca="1" si="0"/>
        <v>#REF!</v>
      </c>
    </row>
    <row r="36" spans="1:22">
      <c r="A36" s="47" t="s">
        <v>99</v>
      </c>
      <c r="B36" s="61" t="str">
        <f>IFERROR(MEDIAN(Vertices[Degree]),NoMetricMessage)</f>
        <v>Not Available</v>
      </c>
      <c r="E36" s="46">
        <f t="shared" si="1"/>
        <v>0</v>
      </c>
      <c r="F36" s="3">
        <f>COUNTIF(Vertices[Degree], "&gt;= " &amp; E36) - COUNTIF(Vertices[Degree], "&gt;=" &amp; E37)</f>
        <v>0</v>
      </c>
      <c r="G36" s="51">
        <f t="shared" si="2"/>
        <v>0</v>
      </c>
      <c r="H36" s="52">
        <f>COUNTIF(Vertices[In-Degree], "&gt;= " &amp; G36) - COUNTIF(Vertices[In-Degree], "&gt;=" &amp; G37)</f>
        <v>0</v>
      </c>
      <c r="I36" s="51">
        <f t="shared" si="3"/>
        <v>0</v>
      </c>
      <c r="J36" s="52">
        <f>COUNTIF(Vertices[Out-Degree], "&gt;= " &amp; I36) - COUNTIF(Vertices[Out-Degree], "&gt;=" &amp; I37)</f>
        <v>0</v>
      </c>
      <c r="K36" s="51">
        <f t="shared" si="4"/>
        <v>0</v>
      </c>
      <c r="L36" s="52">
        <f>COUNTIF(Vertices[Betweenness Centrality], "&gt;= " &amp; K36) - COUNTIF(Vertices[Betweenness Centrality], "&gt;=" &amp; K37)</f>
        <v>0</v>
      </c>
      <c r="M36" s="51">
        <f t="shared" si="5"/>
        <v>0</v>
      </c>
      <c r="N36" s="52">
        <f>COUNTIF(Vertices[Closeness Centrality], "&gt;= " &amp; M36) - COUNTIF(Vertices[Closeness Centrality], "&gt;=" &amp; M37)</f>
        <v>0</v>
      </c>
      <c r="O36" s="51">
        <f t="shared" si="6"/>
        <v>0</v>
      </c>
      <c r="P36" s="52">
        <f>COUNTIF(Vertices[Eigenvector Centrality], "&gt;= " &amp; O36) - COUNTIF(Vertices[Eigenvector Centrality], "&gt;=" &amp; O37)</f>
        <v>0</v>
      </c>
      <c r="Q36" s="51">
        <f t="shared" si="7"/>
        <v>0</v>
      </c>
      <c r="R36" s="52">
        <f>COUNTIF(Vertices[PageRank], "&gt;= " &amp; Q36) - COUNTIF(Vertices[PageRank], "&gt;=" &amp; Q37)</f>
        <v>0</v>
      </c>
      <c r="S36" s="51">
        <f t="shared" si="8"/>
        <v>0</v>
      </c>
      <c r="T36" s="57">
        <f>COUNTIF(Vertices[Clustering Coefficient], "&gt;= " &amp; S36) - COUNTIF(Vertices[Clustering Coefficient], "&gt;=" &amp; S37)</f>
        <v>0</v>
      </c>
      <c r="U36" s="51" t="e">
        <f t="shared" ca="1" si="9"/>
        <v>#REF!</v>
      </c>
      <c r="V36" s="52" t="e">
        <f t="shared" ca="1" si="0"/>
        <v>#REF!</v>
      </c>
    </row>
    <row r="37" spans="1:22">
      <c r="E37" s="46">
        <f t="shared" si="1"/>
        <v>0</v>
      </c>
      <c r="F37" s="3">
        <f>COUNTIF(Vertices[Degree], "&gt;= " &amp; E37) - COUNTIF(Vertices[Degree], "&gt;=" &amp; E38)</f>
        <v>0</v>
      </c>
      <c r="G37" s="53">
        <f t="shared" si="2"/>
        <v>0</v>
      </c>
      <c r="H37" s="54">
        <f>COUNTIF(Vertices[In-Degree], "&gt;= " &amp; G37) - COUNTIF(Vertices[In-Degree], "&gt;=" &amp; G38)</f>
        <v>0</v>
      </c>
      <c r="I37" s="53">
        <f t="shared" si="3"/>
        <v>0</v>
      </c>
      <c r="J37" s="54">
        <f>COUNTIF(Vertices[Out-Degree], "&gt;= " &amp; I37) - COUNTIF(Vertices[Out-Degree], "&gt;=" &amp; I38)</f>
        <v>0</v>
      </c>
      <c r="K37" s="53">
        <f t="shared" si="4"/>
        <v>0</v>
      </c>
      <c r="L37" s="54">
        <f>COUNTIF(Vertices[Betweenness Centrality], "&gt;= " &amp; K37) - COUNTIF(Vertices[Betweenness Centrality], "&gt;=" &amp; K38)</f>
        <v>0</v>
      </c>
      <c r="M37" s="53">
        <f t="shared" si="5"/>
        <v>0</v>
      </c>
      <c r="N37" s="54">
        <f>COUNTIF(Vertices[Closeness Centrality], "&gt;= " &amp; M37) - COUNTIF(Vertices[Closeness Centrality], "&gt;=" &amp; M38)</f>
        <v>0</v>
      </c>
      <c r="O37" s="53">
        <f t="shared" si="6"/>
        <v>0</v>
      </c>
      <c r="P37" s="54">
        <f>COUNTIF(Vertices[Eigenvector Centrality], "&gt;= " &amp; O37) - COUNTIF(Vertices[Eigenvector Centrality], "&gt;=" &amp; O38)</f>
        <v>0</v>
      </c>
      <c r="Q37" s="53">
        <f t="shared" si="7"/>
        <v>0</v>
      </c>
      <c r="R37" s="54">
        <f>COUNTIF(Vertices[PageRank], "&gt;= " &amp; Q37) - COUNTIF(Vertices[PageRank], "&gt;=" &amp; Q38)</f>
        <v>0</v>
      </c>
      <c r="S37" s="53">
        <f t="shared" si="8"/>
        <v>0</v>
      </c>
      <c r="T37" s="58">
        <f>COUNTIF(Vertices[Clustering Coefficient], "&gt;= " &amp; S37) - COUNTIF(Vertices[Clustering Coefficient], "&gt;=" &amp; S38)</f>
        <v>0</v>
      </c>
      <c r="U37" s="53" t="e">
        <f t="shared" ca="1" si="9"/>
        <v>#REF!</v>
      </c>
      <c r="V37" s="54" t="e">
        <f t="shared" ca="1" si="0"/>
        <v>#REF!</v>
      </c>
    </row>
    <row r="38" spans="1:22">
      <c r="E38" s="46">
        <f t="shared" si="1"/>
        <v>0</v>
      </c>
      <c r="F38" s="3">
        <f>COUNTIF(Vertices[Degree], "&gt;= " &amp; E38) - COUNTIF(Vertices[Degree], "&gt;=" &amp; E39)</f>
        <v>0</v>
      </c>
      <c r="G38" s="51">
        <f t="shared" si="2"/>
        <v>0</v>
      </c>
      <c r="H38" s="52">
        <f>COUNTIF(Vertices[In-Degree], "&gt;= " &amp; G38) - COUNTIF(Vertices[In-Degree], "&gt;=" &amp; G39)</f>
        <v>0</v>
      </c>
      <c r="I38" s="51">
        <f t="shared" si="3"/>
        <v>0</v>
      </c>
      <c r="J38" s="52">
        <f>COUNTIF(Vertices[Out-Degree], "&gt;= " &amp; I38) - COUNTIF(Vertices[Out-Degree], "&gt;=" &amp; I39)</f>
        <v>0</v>
      </c>
      <c r="K38" s="51">
        <f t="shared" si="4"/>
        <v>0</v>
      </c>
      <c r="L38" s="52">
        <f>COUNTIF(Vertices[Betweenness Centrality], "&gt;= " &amp; K38) - COUNTIF(Vertices[Betweenness Centrality], "&gt;=" &amp; K39)</f>
        <v>0</v>
      </c>
      <c r="M38" s="51">
        <f t="shared" si="5"/>
        <v>0</v>
      </c>
      <c r="N38" s="52">
        <f>COUNTIF(Vertices[Closeness Centrality], "&gt;= " &amp; M38) - COUNTIF(Vertices[Closeness Centrality], "&gt;=" &amp; M39)</f>
        <v>0</v>
      </c>
      <c r="O38" s="51">
        <f t="shared" si="6"/>
        <v>0</v>
      </c>
      <c r="P38" s="52">
        <f>COUNTIF(Vertices[Eigenvector Centrality], "&gt;= " &amp; O38) - COUNTIF(Vertices[Eigenvector Centrality], "&gt;=" &amp; O39)</f>
        <v>0</v>
      </c>
      <c r="Q38" s="51">
        <f t="shared" si="7"/>
        <v>0</v>
      </c>
      <c r="R38" s="52">
        <f>COUNTIF(Vertices[PageRank], "&gt;= " &amp; Q38) - COUNTIF(Vertices[PageRank], "&gt;=" &amp; Q39)</f>
        <v>0</v>
      </c>
      <c r="S38" s="51">
        <f t="shared" si="8"/>
        <v>0</v>
      </c>
      <c r="T38" s="57">
        <f>COUNTIF(Vertices[Clustering Coefficient], "&gt;= " &amp; S38) - COUNTIF(Vertices[Clustering Coefficient], "&gt;=" &amp; S39)</f>
        <v>0</v>
      </c>
      <c r="U38" s="51" t="e">
        <f t="shared" ca="1" si="9"/>
        <v>#REF!</v>
      </c>
      <c r="V38" s="52" t="e">
        <f t="shared" ca="1" si="0"/>
        <v>#REF!</v>
      </c>
    </row>
    <row r="39" spans="1:22">
      <c r="E39" s="46">
        <f t="shared" si="1"/>
        <v>0</v>
      </c>
      <c r="F39" s="3">
        <f>COUNTIF(Vertices[Degree], "&gt;= " &amp; E39) - COUNTIF(Vertices[Degree], "&gt;=" &amp; E40)</f>
        <v>0</v>
      </c>
      <c r="G39" s="53">
        <f t="shared" si="2"/>
        <v>0</v>
      </c>
      <c r="H39" s="54">
        <f>COUNTIF(Vertices[In-Degree], "&gt;= " &amp; G39) - COUNTIF(Vertices[In-Degree], "&gt;=" &amp; G40)</f>
        <v>0</v>
      </c>
      <c r="I39" s="53">
        <f t="shared" si="3"/>
        <v>0</v>
      </c>
      <c r="J39" s="54">
        <f>COUNTIF(Vertices[Out-Degree], "&gt;= " &amp; I39) - COUNTIF(Vertices[Out-Degree], "&gt;=" &amp; I40)</f>
        <v>0</v>
      </c>
      <c r="K39" s="53">
        <f t="shared" si="4"/>
        <v>0</v>
      </c>
      <c r="L39" s="54">
        <f>COUNTIF(Vertices[Betweenness Centrality], "&gt;= " &amp; K39) - COUNTIF(Vertices[Betweenness Centrality], "&gt;=" &amp; K40)</f>
        <v>0</v>
      </c>
      <c r="M39" s="53">
        <f t="shared" si="5"/>
        <v>0</v>
      </c>
      <c r="N39" s="54">
        <f>COUNTIF(Vertices[Closeness Centrality], "&gt;= " &amp; M39) - COUNTIF(Vertices[Closeness Centrality], "&gt;=" &amp; M40)</f>
        <v>0</v>
      </c>
      <c r="O39" s="53">
        <f t="shared" si="6"/>
        <v>0</v>
      </c>
      <c r="P39" s="54">
        <f>COUNTIF(Vertices[Eigenvector Centrality], "&gt;= " &amp; O39) - COUNTIF(Vertices[Eigenvector Centrality], "&gt;=" &amp; O40)</f>
        <v>0</v>
      </c>
      <c r="Q39" s="53">
        <f t="shared" si="7"/>
        <v>0</v>
      </c>
      <c r="R39" s="54">
        <f>COUNTIF(Vertices[PageRank], "&gt;= " &amp; Q39) - COUNTIF(Vertices[PageRank], "&gt;=" &amp; Q40)</f>
        <v>0</v>
      </c>
      <c r="S39" s="53">
        <f t="shared" si="8"/>
        <v>0</v>
      </c>
      <c r="T39" s="58">
        <f>COUNTIF(Vertices[Clustering Coefficient], "&gt;= " &amp; S39) - COUNTIF(Vertices[Clustering Coefficient], "&gt;=" &amp; S40)</f>
        <v>0</v>
      </c>
      <c r="U39" s="53" t="e">
        <f t="shared" ca="1" si="9"/>
        <v>#REF!</v>
      </c>
      <c r="V39" s="54" t="e">
        <f t="shared" ca="1" si="0"/>
        <v>#REF!</v>
      </c>
    </row>
    <row r="40" spans="1:22">
      <c r="E40" s="46">
        <f t="shared" si="1"/>
        <v>0</v>
      </c>
      <c r="F40" s="3">
        <f>COUNTIF(Vertices[Degree], "&gt;= " &amp; E40) - COUNTIF(Vertices[Degree], "&gt;=" &amp; E41)</f>
        <v>0</v>
      </c>
      <c r="G40" s="51">
        <f t="shared" si="2"/>
        <v>0</v>
      </c>
      <c r="H40" s="52">
        <f>COUNTIF(Vertices[In-Degree], "&gt;= " &amp; G40) - COUNTIF(Vertices[In-Degree], "&gt;=" &amp; G41)</f>
        <v>0</v>
      </c>
      <c r="I40" s="51">
        <f t="shared" si="3"/>
        <v>0</v>
      </c>
      <c r="J40" s="52">
        <f>COUNTIF(Vertices[Out-Degree], "&gt;= " &amp; I40) - COUNTIF(Vertices[Out-Degree], "&gt;=" &amp; I41)</f>
        <v>0</v>
      </c>
      <c r="K40" s="51">
        <f t="shared" si="4"/>
        <v>0</v>
      </c>
      <c r="L40" s="52">
        <f>COUNTIF(Vertices[Betweenness Centrality], "&gt;= " &amp; K40) - COUNTIF(Vertices[Betweenness Centrality], "&gt;=" &amp; K41)</f>
        <v>0</v>
      </c>
      <c r="M40" s="51">
        <f t="shared" si="5"/>
        <v>0</v>
      </c>
      <c r="N40" s="52">
        <f>COUNTIF(Vertices[Closeness Centrality], "&gt;= " &amp; M40) - COUNTIF(Vertices[Closeness Centrality], "&gt;=" &amp; M41)</f>
        <v>0</v>
      </c>
      <c r="O40" s="51">
        <f t="shared" si="6"/>
        <v>0</v>
      </c>
      <c r="P40" s="52">
        <f>COUNTIF(Vertices[Eigenvector Centrality], "&gt;= " &amp; O40) - COUNTIF(Vertices[Eigenvector Centrality], "&gt;=" &amp; O41)</f>
        <v>0</v>
      </c>
      <c r="Q40" s="51">
        <f t="shared" si="7"/>
        <v>0</v>
      </c>
      <c r="R40" s="52">
        <f>COUNTIF(Vertices[PageRank], "&gt;= " &amp; Q40) - COUNTIF(Vertices[PageRank], "&gt;=" &amp; Q41)</f>
        <v>0</v>
      </c>
      <c r="S40" s="51">
        <f t="shared" si="8"/>
        <v>0</v>
      </c>
      <c r="T40" s="57">
        <f>COUNTIF(Vertices[Clustering Coefficient], "&gt;= " &amp; S40) - COUNTIF(Vertices[Clustering Coefficient], "&gt;=" &amp; S41)</f>
        <v>0</v>
      </c>
      <c r="U40" s="51" t="e">
        <f t="shared" ca="1" si="9"/>
        <v>#REF!</v>
      </c>
      <c r="V40" s="52" t="e">
        <f t="shared" ca="1" si="0"/>
        <v>#REF!</v>
      </c>
    </row>
    <row r="41" spans="1:22">
      <c r="E41" s="46">
        <f t="shared" si="1"/>
        <v>0</v>
      </c>
      <c r="F41" s="3">
        <f>COUNTIF(Vertices[Degree], "&gt;= " &amp; E41) - COUNTIF(Vertices[Degree], "&gt;=" &amp; E42)</f>
        <v>0</v>
      </c>
      <c r="G41" s="53">
        <f t="shared" si="2"/>
        <v>0</v>
      </c>
      <c r="H41" s="54">
        <f>COUNTIF(Vertices[In-Degree], "&gt;= " &amp; G41) - COUNTIF(Vertices[In-Degree], "&gt;=" &amp; G42)</f>
        <v>0</v>
      </c>
      <c r="I41" s="53">
        <f t="shared" si="3"/>
        <v>0</v>
      </c>
      <c r="J41" s="54">
        <f>COUNTIF(Vertices[Out-Degree], "&gt;= " &amp; I41) - COUNTIF(Vertices[Out-Degree], "&gt;=" &amp; I42)</f>
        <v>0</v>
      </c>
      <c r="K41" s="53">
        <f t="shared" si="4"/>
        <v>0</v>
      </c>
      <c r="L41" s="54">
        <f>COUNTIF(Vertices[Betweenness Centrality], "&gt;= " &amp; K41) - COUNTIF(Vertices[Betweenness Centrality], "&gt;=" &amp; K42)</f>
        <v>0</v>
      </c>
      <c r="M41" s="53">
        <f t="shared" si="5"/>
        <v>0</v>
      </c>
      <c r="N41" s="54">
        <f>COUNTIF(Vertices[Closeness Centrality], "&gt;= " &amp; M41) - COUNTIF(Vertices[Closeness Centrality], "&gt;=" &amp; M42)</f>
        <v>0</v>
      </c>
      <c r="O41" s="53">
        <f t="shared" si="6"/>
        <v>0</v>
      </c>
      <c r="P41" s="54">
        <f>COUNTIF(Vertices[Eigenvector Centrality], "&gt;= " &amp; O41) - COUNTIF(Vertices[Eigenvector Centrality], "&gt;=" &amp; O42)</f>
        <v>0</v>
      </c>
      <c r="Q41" s="53">
        <f t="shared" si="7"/>
        <v>0</v>
      </c>
      <c r="R41" s="54">
        <f>COUNTIF(Vertices[PageRank], "&gt;= " &amp; Q41) - COUNTIF(Vertices[PageRank], "&gt;=" &amp; Q42)</f>
        <v>0</v>
      </c>
      <c r="S41" s="53">
        <f t="shared" si="8"/>
        <v>0</v>
      </c>
      <c r="T41" s="58">
        <f>COUNTIF(Vertices[Clustering Coefficient], "&gt;= " &amp; S41) - COUNTIF(Vertices[Clustering Coefficient], "&gt;=" &amp; S42)</f>
        <v>0</v>
      </c>
      <c r="U41" s="53" t="e">
        <f t="shared" ca="1" si="9"/>
        <v>#REF!</v>
      </c>
      <c r="V41" s="54" t="e">
        <f t="shared" ca="1" si="0"/>
        <v>#REF!</v>
      </c>
    </row>
    <row r="42" spans="1:22">
      <c r="E42" s="46">
        <f t="shared" si="1"/>
        <v>0</v>
      </c>
      <c r="F42" s="3">
        <f>COUNTIF(Vertices[Degree], "&gt;= " &amp; E42) - COUNTIF(Vertices[Degree], "&gt;=" &amp; E43)</f>
        <v>0</v>
      </c>
      <c r="G42" s="51">
        <f t="shared" si="2"/>
        <v>0</v>
      </c>
      <c r="H42" s="52">
        <f>COUNTIF(Vertices[In-Degree], "&gt;= " &amp; G42) - COUNTIF(Vertices[In-Degree], "&gt;=" &amp; G43)</f>
        <v>0</v>
      </c>
      <c r="I42" s="51">
        <f t="shared" si="3"/>
        <v>0</v>
      </c>
      <c r="J42" s="52">
        <f>COUNTIF(Vertices[Out-Degree], "&gt;= " &amp; I42) - COUNTIF(Vertices[Out-Degree], "&gt;=" &amp; I43)</f>
        <v>0</v>
      </c>
      <c r="K42" s="51">
        <f t="shared" si="4"/>
        <v>0</v>
      </c>
      <c r="L42" s="52">
        <f>COUNTIF(Vertices[Betweenness Centrality], "&gt;= " &amp; K42) - COUNTIF(Vertices[Betweenness Centrality], "&gt;=" &amp; K43)</f>
        <v>0</v>
      </c>
      <c r="M42" s="51">
        <f t="shared" si="5"/>
        <v>0</v>
      </c>
      <c r="N42" s="52">
        <f>COUNTIF(Vertices[Closeness Centrality], "&gt;= " &amp; M42) - COUNTIF(Vertices[Closeness Centrality], "&gt;=" &amp; M43)</f>
        <v>0</v>
      </c>
      <c r="O42" s="51">
        <f t="shared" si="6"/>
        <v>0</v>
      </c>
      <c r="P42" s="52">
        <f>COUNTIF(Vertices[Eigenvector Centrality], "&gt;= " &amp; O42) - COUNTIF(Vertices[Eigenvector Centrality], "&gt;=" &amp; O43)</f>
        <v>0</v>
      </c>
      <c r="Q42" s="51">
        <f t="shared" si="7"/>
        <v>0</v>
      </c>
      <c r="R42" s="52">
        <f>COUNTIF(Vertices[PageRank], "&gt;= " &amp; Q42) - COUNTIF(Vertices[PageRank], "&gt;=" &amp; Q43)</f>
        <v>0</v>
      </c>
      <c r="S42" s="51">
        <f t="shared" si="8"/>
        <v>0</v>
      </c>
      <c r="T42" s="57">
        <f>COUNTIF(Vertices[Clustering Coefficient], "&gt;= " &amp; S42) - COUNTIF(Vertices[Clustering Coefficient], "&gt;=" &amp; S43)</f>
        <v>0</v>
      </c>
      <c r="U42" s="51" t="e">
        <f t="shared" ca="1" si="9"/>
        <v>#REF!</v>
      </c>
      <c r="V42" s="52" t="e">
        <f t="shared" ca="1" si="0"/>
        <v>#REF!</v>
      </c>
    </row>
    <row r="43" spans="1:22">
      <c r="E43" s="46">
        <f t="shared" si="1"/>
        <v>0</v>
      </c>
      <c r="F43" s="3">
        <f>COUNTIF(Vertices[Degree], "&gt;= " &amp; E43) - COUNTIF(Vertices[Degree], "&gt;=" &amp; E44)</f>
        <v>0</v>
      </c>
      <c r="G43" s="53">
        <f t="shared" si="2"/>
        <v>0</v>
      </c>
      <c r="H43" s="54">
        <f>COUNTIF(Vertices[In-Degree], "&gt;= " &amp; G43) - COUNTIF(Vertices[In-Degree], "&gt;=" &amp; G44)</f>
        <v>0</v>
      </c>
      <c r="I43" s="53">
        <f t="shared" si="3"/>
        <v>0</v>
      </c>
      <c r="J43" s="54">
        <f>COUNTIF(Vertices[Out-Degree], "&gt;= " &amp; I43) - COUNTIF(Vertices[Out-Degree], "&gt;=" &amp; I44)</f>
        <v>0</v>
      </c>
      <c r="K43" s="53">
        <f t="shared" si="4"/>
        <v>0</v>
      </c>
      <c r="L43" s="54">
        <f>COUNTIF(Vertices[Betweenness Centrality], "&gt;= " &amp; K43) - COUNTIF(Vertices[Betweenness Centrality], "&gt;=" &amp; K44)</f>
        <v>0</v>
      </c>
      <c r="M43" s="53">
        <f t="shared" si="5"/>
        <v>0</v>
      </c>
      <c r="N43" s="54">
        <f>COUNTIF(Vertices[Closeness Centrality], "&gt;= " &amp; M43) - COUNTIF(Vertices[Closeness Centrality], "&gt;=" &amp; M44)</f>
        <v>0</v>
      </c>
      <c r="O43" s="53">
        <f t="shared" si="6"/>
        <v>0</v>
      </c>
      <c r="P43" s="54">
        <f>COUNTIF(Vertices[Eigenvector Centrality], "&gt;= " &amp; O43) - COUNTIF(Vertices[Eigenvector Centrality], "&gt;=" &amp; O44)</f>
        <v>0</v>
      </c>
      <c r="Q43" s="53">
        <f t="shared" si="7"/>
        <v>0</v>
      </c>
      <c r="R43" s="54">
        <f>COUNTIF(Vertices[PageRank], "&gt;= " &amp; Q43) - COUNTIF(Vertices[PageRank], "&gt;=" &amp; Q44)</f>
        <v>0</v>
      </c>
      <c r="S43" s="53">
        <f t="shared" si="8"/>
        <v>0</v>
      </c>
      <c r="T43" s="58">
        <f>COUNTIF(Vertices[Clustering Coefficient], "&gt;= " &amp; S43) - COUNTIF(Vertices[Clustering Coefficient], "&gt;=" &amp; S44)</f>
        <v>0</v>
      </c>
      <c r="U43" s="53" t="e">
        <f t="shared" ca="1" si="9"/>
        <v>#REF!</v>
      </c>
      <c r="V43" s="54" t="e">
        <f t="shared" ca="1" si="0"/>
        <v>#REF!</v>
      </c>
    </row>
    <row r="44" spans="1:22">
      <c r="E44" s="46">
        <f t="shared" si="1"/>
        <v>0</v>
      </c>
      <c r="F44" s="3">
        <f>COUNTIF(Vertices[Degree], "&gt;= " &amp; E44) - COUNTIF(Vertices[Degree], "&gt;=" &amp; E45)</f>
        <v>0</v>
      </c>
      <c r="G44" s="51">
        <f t="shared" si="2"/>
        <v>0</v>
      </c>
      <c r="H44" s="52">
        <f>COUNTIF(Vertices[In-Degree], "&gt;= " &amp; G44) - COUNTIF(Vertices[In-Degree], "&gt;=" &amp; G45)</f>
        <v>0</v>
      </c>
      <c r="I44" s="51">
        <f t="shared" si="3"/>
        <v>0</v>
      </c>
      <c r="J44" s="52">
        <f>COUNTIF(Vertices[Out-Degree], "&gt;= " &amp; I44) - COUNTIF(Vertices[Out-Degree], "&gt;=" &amp; I45)</f>
        <v>0</v>
      </c>
      <c r="K44" s="51">
        <f t="shared" si="4"/>
        <v>0</v>
      </c>
      <c r="L44" s="52">
        <f>COUNTIF(Vertices[Betweenness Centrality], "&gt;= " &amp; K44) - COUNTIF(Vertices[Betweenness Centrality], "&gt;=" &amp; K45)</f>
        <v>0</v>
      </c>
      <c r="M44" s="51">
        <f t="shared" si="5"/>
        <v>0</v>
      </c>
      <c r="N44" s="52">
        <f>COUNTIF(Vertices[Closeness Centrality], "&gt;= " &amp; M44) - COUNTIF(Vertices[Closeness Centrality], "&gt;=" &amp; M45)</f>
        <v>0</v>
      </c>
      <c r="O44" s="51">
        <f t="shared" si="6"/>
        <v>0</v>
      </c>
      <c r="P44" s="52">
        <f>COUNTIF(Vertices[Eigenvector Centrality], "&gt;= " &amp; O44) - COUNTIF(Vertices[Eigenvector Centrality], "&gt;=" &amp; O45)</f>
        <v>0</v>
      </c>
      <c r="Q44" s="51">
        <f t="shared" si="7"/>
        <v>0</v>
      </c>
      <c r="R44" s="52">
        <f>COUNTIF(Vertices[PageRank], "&gt;= " &amp; Q44) - COUNTIF(Vertices[PageRank], "&gt;=" &amp; Q45)</f>
        <v>0</v>
      </c>
      <c r="S44" s="51">
        <f t="shared" si="8"/>
        <v>0</v>
      </c>
      <c r="T44" s="57">
        <f>COUNTIF(Vertices[Clustering Coefficient], "&gt;= " &amp; S44) - COUNTIF(Vertices[Clustering Coefficient], "&gt;=" &amp; S45)</f>
        <v>0</v>
      </c>
      <c r="U44" s="51" t="e">
        <f t="shared" ca="1" si="9"/>
        <v>#REF!</v>
      </c>
      <c r="V44" s="52" t="e">
        <f t="shared" ca="1" si="0"/>
        <v>#REF!</v>
      </c>
    </row>
    <row r="45" spans="1:22">
      <c r="E45" s="46">
        <f>MAX(Vertices[Degree])</f>
        <v>0</v>
      </c>
      <c r="F45" s="3">
        <f>COUNTIF(Vertices[Degree], "&gt;= " &amp; E45) - COUNTIF(Vertices[Degree], "&gt;=" &amp; E46)</f>
        <v>0</v>
      </c>
      <c r="G45" s="55">
        <f>MAX(Vertices[In-Degree])</f>
        <v>0</v>
      </c>
      <c r="H45" s="56">
        <f>COUNTIF(Vertices[In-Degree], "&gt;= " &amp; G45) - COUNTIF(Vertices[In-Degree], "&gt;=" &amp; G46)</f>
        <v>0</v>
      </c>
      <c r="I45" s="55">
        <f>MAX(Vertices[Out-Degree])</f>
        <v>0</v>
      </c>
      <c r="J45" s="56">
        <f>COUNTIF(Vertices[Out-Degree], "&gt;= " &amp; I45) - COUNTIF(Vertices[Out-Degree], "&gt;=" &amp; I46)</f>
        <v>0</v>
      </c>
      <c r="K45" s="55">
        <f>MAX(Vertices[Betweenness Centrality])</f>
        <v>0</v>
      </c>
      <c r="L45" s="56">
        <f>COUNTIF(Vertices[Betweenness Centrality], "&gt;= " &amp; K45) - COUNTIF(Vertices[Betweenness Centrality], "&gt;=" &amp; K46)</f>
        <v>0</v>
      </c>
      <c r="M45" s="55">
        <f>MAX(Vertices[Closeness Centrality])</f>
        <v>0</v>
      </c>
      <c r="N45" s="56">
        <f>COUNTIF(Vertices[Closeness Centrality], "&gt;= " &amp; M45) - COUNTIF(Vertices[Closeness Centrality], "&gt;=" &amp; M46)</f>
        <v>0</v>
      </c>
      <c r="O45" s="55">
        <f>MAX(Vertices[Eigenvector Centrality])</f>
        <v>0</v>
      </c>
      <c r="P45" s="56">
        <f>COUNTIF(Vertices[Eigenvector Centrality], "&gt;= " &amp; O45) - COUNTIF(Vertices[Eigenvector Centrality], "&gt;=" &amp; O46)</f>
        <v>0</v>
      </c>
      <c r="Q45" s="55">
        <f>MAX(Vertices[PageRank])</f>
        <v>0</v>
      </c>
      <c r="R45" s="56">
        <f>COUNTIF(Vertices[PageRank], "&gt;= " &amp; Q45) - COUNTIF(Vertices[PageRank], "&gt;=" &amp; Q46)</f>
        <v>0</v>
      </c>
      <c r="S45" s="55">
        <f>MAX(Vertices[Clustering Coefficient])</f>
        <v>0</v>
      </c>
      <c r="T45" s="59">
        <f>COUNTIF(Vertices[Clustering Coefficient], "&gt;= " &amp; S45) - COUNTIF(Vertices[Clustering Coefficient], "&gt;=" &amp; S46)</f>
        <v>0</v>
      </c>
      <c r="U45" s="55" t="e">
        <f ca="1">MAX(INDIRECT(DynamicFilterSourceColumnRange))</f>
        <v>#REF!</v>
      </c>
      <c r="V45" s="56" t="e">
        <f t="shared" ca="1" si="0"/>
        <v>#REF!</v>
      </c>
    </row>
    <row r="47" spans="1:22">
      <c r="A47" s="47" t="s">
        <v>104</v>
      </c>
      <c r="B47" s="60" t="str">
        <f>IF(COUNT(Vertices[In-Degree])&gt;0, G2, NoMetricMessage)</f>
        <v>Not Available</v>
      </c>
    </row>
    <row r="48" spans="1:22">
      <c r="A48" s="47" t="s">
        <v>105</v>
      </c>
      <c r="B48" s="60" t="str">
        <f>IF(COUNT(Vertices[In-Degree])&gt;0, G45, NoMetricMessage)</f>
        <v>Not Available</v>
      </c>
    </row>
    <row r="49" spans="1:2">
      <c r="A49" s="47" t="s">
        <v>106</v>
      </c>
      <c r="B49" s="61" t="str">
        <f>IFERROR(AVERAGE(Vertices[In-Degree]),NoMetricMessage)</f>
        <v>Not Available</v>
      </c>
    </row>
    <row r="50" spans="1:2">
      <c r="A50" s="47" t="s">
        <v>107</v>
      </c>
      <c r="B50" s="61" t="str">
        <f>IFERROR(MEDIAN(Vertices[In-Degree]),NoMetricMessage)</f>
        <v>Not Available</v>
      </c>
    </row>
    <row r="61" spans="1:2">
      <c r="A61" s="47" t="s">
        <v>110</v>
      </c>
      <c r="B61" s="60" t="str">
        <f>IF(COUNT(Vertices[Out-Degree])&gt;0, I2, NoMetricMessage)</f>
        <v>Not Available</v>
      </c>
    </row>
    <row r="62" spans="1:2">
      <c r="A62" s="47" t="s">
        <v>111</v>
      </c>
      <c r="B62" s="60" t="str">
        <f>IF(COUNT(Vertices[Out-Degree])&gt;0, I45, NoMetricMessage)</f>
        <v>Not Available</v>
      </c>
    </row>
    <row r="63" spans="1:2">
      <c r="A63" s="47" t="s">
        <v>112</v>
      </c>
      <c r="B63" s="61" t="str">
        <f>IFERROR(AVERAGE(Vertices[Out-Degree]),NoMetricMessage)</f>
        <v>Not Available</v>
      </c>
    </row>
    <row r="64" spans="1:2">
      <c r="A64" s="47" t="s">
        <v>113</v>
      </c>
      <c r="B64" s="61" t="str">
        <f>IFERROR(MEDIAN(Vertices[Out-Degree]),NoMetricMessage)</f>
        <v>Not Available</v>
      </c>
    </row>
    <row r="75" spans="1:2">
      <c r="A75" s="47" t="s">
        <v>116</v>
      </c>
      <c r="B75" s="61" t="str">
        <f>IF(COUNT(Vertices[Betweenness Centrality])&gt;0, K2, NoMetricMessage)</f>
        <v>Not Available</v>
      </c>
    </row>
    <row r="76" spans="1:2">
      <c r="A76" s="47" t="s">
        <v>117</v>
      </c>
      <c r="B76" s="61" t="str">
        <f>IF(COUNT(Vertices[Betweenness Centrality])&gt;0, K45, NoMetricMessage)</f>
        <v>Not Available</v>
      </c>
    </row>
    <row r="77" spans="1:2">
      <c r="A77" s="47" t="s">
        <v>118</v>
      </c>
      <c r="B77" s="61" t="str">
        <f>IFERROR(AVERAGE(Vertices[Betweenness Centrality]),NoMetricMessage)</f>
        <v>Not Available</v>
      </c>
    </row>
    <row r="78" spans="1:2">
      <c r="A78" s="47" t="s">
        <v>119</v>
      </c>
      <c r="B78" s="61" t="str">
        <f>IFERROR(MEDIAN(Vertices[Betweenness Centrality]),NoMetricMessage)</f>
        <v>Not Available</v>
      </c>
    </row>
    <row r="89" spans="1:2">
      <c r="A89" s="47" t="s">
        <v>122</v>
      </c>
      <c r="B89" s="61" t="str">
        <f>IF(COUNT(Vertices[Closeness Centrality])&gt;0, M2, NoMetricMessage)</f>
        <v>Not Available</v>
      </c>
    </row>
    <row r="90" spans="1:2">
      <c r="A90" s="47" t="s">
        <v>123</v>
      </c>
      <c r="B90" s="61" t="str">
        <f>IF(COUNT(Vertices[Closeness Centrality])&gt;0, M45, NoMetricMessage)</f>
        <v>Not Available</v>
      </c>
    </row>
    <row r="91" spans="1:2">
      <c r="A91" s="47" t="s">
        <v>124</v>
      </c>
      <c r="B91" s="61" t="str">
        <f>IFERROR(AVERAGE(Vertices[Closeness Centrality]),NoMetricMessage)</f>
        <v>Not Available</v>
      </c>
    </row>
    <row r="92" spans="1:2">
      <c r="A92" s="47" t="s">
        <v>125</v>
      </c>
      <c r="B92" s="61" t="str">
        <f>IFERROR(MEDIAN(Vertices[Closeness Centrality]),NoMetricMessage)</f>
        <v>Not Available</v>
      </c>
    </row>
    <row r="103" spans="1:2">
      <c r="A103" s="47" t="s">
        <v>128</v>
      </c>
      <c r="B103" s="61" t="str">
        <f>IF(COUNT(Vertices[Eigenvector Centrality])&gt;0, O2, NoMetricMessage)</f>
        <v>Not Available</v>
      </c>
    </row>
    <row r="104" spans="1:2">
      <c r="A104" s="47" t="s">
        <v>129</v>
      </c>
      <c r="B104" s="61" t="str">
        <f>IF(COUNT(Vertices[Eigenvector Centrality])&gt;0, O45, NoMetricMessage)</f>
        <v>Not Available</v>
      </c>
    </row>
    <row r="105" spans="1:2">
      <c r="A105" s="47" t="s">
        <v>130</v>
      </c>
      <c r="B105" s="61" t="str">
        <f>IFERROR(AVERAGE(Vertices[Eigenvector Centrality]),NoMetricMessage)</f>
        <v>Not Available</v>
      </c>
    </row>
    <row r="106" spans="1:2">
      <c r="A106" s="47" t="s">
        <v>131</v>
      </c>
      <c r="B106" s="61" t="str">
        <f>IFERROR(MEDIAN(Vertices[Eigenvector Centrality]),NoMetricMessage)</f>
        <v>Not Available</v>
      </c>
    </row>
    <row r="117" spans="1:2">
      <c r="A117" s="47" t="s">
        <v>156</v>
      </c>
      <c r="B117" s="61" t="str">
        <f>IF(COUNT(Vertices[PageRank])&gt;0, Q2, NoMetricMessage)</f>
        <v>Not Available</v>
      </c>
    </row>
    <row r="118" spans="1:2">
      <c r="A118" s="47" t="s">
        <v>157</v>
      </c>
      <c r="B118" s="61" t="str">
        <f>IF(COUNT(Vertices[PageRank])&gt;0, Q45, NoMetricMessage)</f>
        <v>Not Available</v>
      </c>
    </row>
    <row r="119" spans="1:2">
      <c r="A119" s="47" t="s">
        <v>158</v>
      </c>
      <c r="B119" s="61" t="str">
        <f>IFERROR(AVERAGE(Vertices[PageRank]),NoMetricMessage)</f>
        <v>Not Available</v>
      </c>
    </row>
    <row r="120" spans="1:2">
      <c r="A120" s="47" t="s">
        <v>159</v>
      </c>
      <c r="B120" s="61" t="str">
        <f>IFERROR(MEDIAN(Vertices[PageRank]),NoMetricMessage)</f>
        <v>Not Available</v>
      </c>
    </row>
    <row r="131" spans="1:2">
      <c r="A131" s="47" t="s">
        <v>134</v>
      </c>
      <c r="B131" s="61" t="str">
        <f>IF(COUNT(Vertices[Clustering Coefficient])&gt;0, S2, NoMetricMessage)</f>
        <v>Not Available</v>
      </c>
    </row>
    <row r="132" spans="1:2">
      <c r="A132" s="47" t="s">
        <v>135</v>
      </c>
      <c r="B132" s="61" t="str">
        <f>IF(COUNT(Vertices[Clustering Coefficient])&gt;0, S45, NoMetricMessage)</f>
        <v>Not Available</v>
      </c>
    </row>
    <row r="133" spans="1:2">
      <c r="A133" s="47" t="s">
        <v>136</v>
      </c>
      <c r="B133" s="61" t="str">
        <f>IFERROR(AVERAGE(Vertices[Clustering Coefficient]),NoMetricMessage)</f>
        <v>Not Available</v>
      </c>
    </row>
    <row r="134" spans="1:2">
      <c r="A134" s="47" t="s">
        <v>137</v>
      </c>
      <c r="B134" s="61"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3">
    <tablePart r:id="rId4"/>
    <tablePart r:id="rId5"/>
    <tablePart r:id="rId6"/>
  </tableParts>
</worksheet>
</file>

<file path=xl/worksheets/sheet7.xml><?xml version="1.0" encoding="utf-8"?>
<worksheet xmlns="http://schemas.openxmlformats.org/spreadsheetml/2006/main" xmlns:r="http://schemas.openxmlformats.org/officeDocument/2006/relationships">
  <sheetPr codeName="Sheet4"/>
  <dimension ref="A1:P23"/>
  <sheetViews>
    <sheetView workbookViewId="0"/>
  </sheetViews>
  <sheetFormatPr defaultRowHeight="15"/>
  <cols>
    <col min="1" max="1" width="10.42578125" style="1" bestFit="1" customWidth="1"/>
    <col min="2" max="2" width="12.42578125" style="1" bestFit="1" customWidth="1"/>
    <col min="3" max="3" width="22.85546875" bestFit="1" customWidth="1"/>
    <col min="4" max="4" width="16.85546875" bestFit="1" customWidth="1"/>
    <col min="5" max="5" width="14.28515625" bestFit="1" customWidth="1"/>
    <col min="6" max="6" width="14.28515625" customWidth="1"/>
    <col min="8" max="8" width="39.140625" bestFit="1" customWidth="1"/>
    <col min="9" max="9" width="10.85546875" bestFit="1" customWidth="1"/>
    <col min="11" max="11" width="8.42578125" bestFit="1" customWidth="1"/>
    <col min="12" max="12" width="10" bestFit="1" customWidth="1"/>
    <col min="13" max="13" width="11.85546875" bestFit="1" customWidth="1"/>
    <col min="14" max="14" width="12.140625" bestFit="1" customWidth="1"/>
  </cols>
  <sheetData>
    <row r="1" spans="1:16" s="4" customFormat="1" ht="36" customHeight="1">
      <c r="A1" s="5" t="s">
        <v>6</v>
      </c>
      <c r="B1" s="5" t="s">
        <v>147</v>
      </c>
      <c r="C1" s="4" t="s">
        <v>7</v>
      </c>
      <c r="D1" s="4" t="s">
        <v>9</v>
      </c>
      <c r="E1" s="4" t="s">
        <v>14</v>
      </c>
      <c r="F1" s="4" t="s">
        <v>78</v>
      </c>
      <c r="H1" s="4" t="s">
        <v>20</v>
      </c>
      <c r="I1" s="4" t="s">
        <v>19</v>
      </c>
      <c r="K1" s="4" t="s">
        <v>24</v>
      </c>
      <c r="L1" s="4" t="s">
        <v>25</v>
      </c>
      <c r="M1" s="4" t="s">
        <v>26</v>
      </c>
      <c r="N1" s="4" t="s">
        <v>27</v>
      </c>
    </row>
    <row r="2" spans="1:16">
      <c r="A2" s="1" t="s">
        <v>62</v>
      </c>
      <c r="B2" s="1" t="s">
        <v>148</v>
      </c>
      <c r="C2" t="s">
        <v>65</v>
      </c>
      <c r="D2" t="s">
        <v>66</v>
      </c>
      <c r="E2" t="s">
        <v>76</v>
      </c>
      <c r="F2" t="s">
        <v>79</v>
      </c>
      <c r="H2" t="s">
        <v>21</v>
      </c>
      <c r="I2">
        <v>82</v>
      </c>
      <c r="K2" s="4"/>
      <c r="L2" s="4"/>
      <c r="M2" s="4"/>
      <c r="N2" s="4"/>
    </row>
    <row r="3" spans="1:16">
      <c r="A3" s="1" t="s">
        <v>63</v>
      </c>
      <c r="B3" s="1" t="s">
        <v>149</v>
      </c>
      <c r="C3" t="s">
        <v>63</v>
      </c>
      <c r="D3" t="s">
        <v>67</v>
      </c>
      <c r="E3" t="s">
        <v>77</v>
      </c>
      <c r="F3" t="s">
        <v>80</v>
      </c>
      <c r="H3" s="12" t="s">
        <v>32</v>
      </c>
      <c r="I3" s="13">
        <v>0</v>
      </c>
    </row>
    <row r="4" spans="1:16">
      <c r="A4" s="1" t="s">
        <v>64</v>
      </c>
      <c r="B4" s="1" t="s">
        <v>150</v>
      </c>
      <c r="C4" t="s">
        <v>64</v>
      </c>
      <c r="D4" t="s">
        <v>68</v>
      </c>
      <c r="E4">
        <v>0</v>
      </c>
      <c r="F4" t="s">
        <v>81</v>
      </c>
      <c r="H4" t="s">
        <v>33</v>
      </c>
      <c r="I4" t="s">
        <v>34</v>
      </c>
    </row>
    <row r="5" spans="1:16">
      <c r="A5">
        <v>1</v>
      </c>
      <c r="B5" s="1" t="s">
        <v>151</v>
      </c>
      <c r="C5" t="s">
        <v>62</v>
      </c>
      <c r="D5" t="s">
        <v>69</v>
      </c>
      <c r="E5">
        <v>1</v>
      </c>
      <c r="F5" t="s">
        <v>82</v>
      </c>
      <c r="H5" s="12" t="s">
        <v>44</v>
      </c>
      <c r="I5" s="12" t="b">
        <v>1</v>
      </c>
    </row>
    <row r="6" spans="1:16">
      <c r="A6">
        <v>0</v>
      </c>
      <c r="B6" s="1" t="s">
        <v>152</v>
      </c>
      <c r="C6">
        <v>1</v>
      </c>
      <c r="D6" t="s">
        <v>70</v>
      </c>
      <c r="F6" t="s">
        <v>83</v>
      </c>
      <c r="H6" s="12" t="s">
        <v>89</v>
      </c>
      <c r="I6" s="12" t="b">
        <v>1</v>
      </c>
      <c r="P6" t="s">
        <v>145</v>
      </c>
    </row>
    <row r="7" spans="1:16">
      <c r="A7">
        <v>2</v>
      </c>
      <c r="B7">
        <v>1</v>
      </c>
      <c r="C7">
        <v>0</v>
      </c>
      <c r="D7" t="s">
        <v>71</v>
      </c>
      <c r="F7" t="s">
        <v>84</v>
      </c>
      <c r="H7" s="12" t="s">
        <v>49</v>
      </c>
      <c r="I7" s="12" t="b">
        <v>1</v>
      </c>
    </row>
    <row r="8" spans="1:16">
      <c r="A8"/>
      <c r="B8">
        <v>2</v>
      </c>
      <c r="C8">
        <v>2</v>
      </c>
      <c r="D8" t="s">
        <v>72</v>
      </c>
      <c r="F8" t="s">
        <v>85</v>
      </c>
      <c r="H8" s="12" t="s">
        <v>42</v>
      </c>
      <c r="I8" s="12" t="b">
        <v>0</v>
      </c>
    </row>
    <row r="9" spans="1:16">
      <c r="A9"/>
      <c r="B9">
        <v>3</v>
      </c>
      <c r="C9">
        <v>4</v>
      </c>
      <c r="D9" t="s">
        <v>73</v>
      </c>
      <c r="F9" t="s">
        <v>86</v>
      </c>
      <c r="H9" s="12" t="s">
        <v>43</v>
      </c>
      <c r="I9" s="12" t="b">
        <v>1</v>
      </c>
    </row>
    <row r="10" spans="1:16">
      <c r="A10"/>
      <c r="B10">
        <v>4</v>
      </c>
      <c r="D10" t="s">
        <v>74</v>
      </c>
      <c r="F10" t="s">
        <v>87</v>
      </c>
      <c r="H10" s="12" t="s">
        <v>45</v>
      </c>
      <c r="I10" s="12" t="b">
        <v>1</v>
      </c>
    </row>
    <row r="11" spans="1:16">
      <c r="A11"/>
      <c r="B11">
        <v>5</v>
      </c>
      <c r="D11" t="s">
        <v>57</v>
      </c>
      <c r="F11">
        <v>1</v>
      </c>
      <c r="H11" s="12" t="s">
        <v>46</v>
      </c>
      <c r="I11" s="12" t="b">
        <v>0</v>
      </c>
    </row>
    <row r="12" spans="1:16">
      <c r="A12"/>
      <c r="B12"/>
      <c r="D12" t="s">
        <v>75</v>
      </c>
      <c r="F12">
        <v>2</v>
      </c>
      <c r="H12" s="12" t="s">
        <v>48</v>
      </c>
      <c r="I12" s="12" t="b">
        <v>1</v>
      </c>
    </row>
    <row r="13" spans="1:16">
      <c r="A13"/>
      <c r="B13"/>
      <c r="D13">
        <v>1</v>
      </c>
      <c r="F13">
        <v>3</v>
      </c>
      <c r="H13" s="12" t="s">
        <v>90</v>
      </c>
      <c r="I13" s="12"/>
    </row>
    <row r="14" spans="1:16">
      <c r="D14">
        <v>2</v>
      </c>
      <c r="F14">
        <v>4</v>
      </c>
      <c r="H14" s="12" t="s">
        <v>91</v>
      </c>
      <c r="I14" s="12"/>
    </row>
    <row r="15" spans="1:16">
      <c r="D15">
        <v>3</v>
      </c>
      <c r="F15">
        <v>5</v>
      </c>
      <c r="H15" s="12" t="s">
        <v>92</v>
      </c>
      <c r="I15" s="12"/>
    </row>
    <row r="16" spans="1:16">
      <c r="D16">
        <v>4</v>
      </c>
      <c r="F16">
        <v>6</v>
      </c>
    </row>
    <row r="17" spans="4:6">
      <c r="D17">
        <v>5</v>
      </c>
      <c r="F17">
        <v>7</v>
      </c>
    </row>
    <row r="18" spans="4:6">
      <c r="D18">
        <v>6</v>
      </c>
      <c r="F18">
        <v>8</v>
      </c>
    </row>
    <row r="19" spans="4:6">
      <c r="D19">
        <v>7</v>
      </c>
      <c r="F19">
        <v>9</v>
      </c>
    </row>
    <row r="20" spans="4:6">
      <c r="D20">
        <v>8</v>
      </c>
    </row>
    <row r="21" spans="4:6">
      <c r="D21">
        <v>9</v>
      </c>
    </row>
    <row r="22" spans="4:6">
      <c r="D22">
        <v>10</v>
      </c>
    </row>
    <row r="23" spans="4:6">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Edges</vt:lpstr>
      <vt:lpstr>Vertices</vt:lpstr>
      <vt:lpstr>Do Not Delete</vt:lpstr>
      <vt:lpstr>Clusters</vt:lpstr>
      <vt:lpstr>Cluster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ValidVertexLabelPositions</vt:lpstr>
      <vt:lpstr>ValidVertexShapes</vt:lpstr>
      <vt:lpstr>ValidVertexVisibilities</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Tony</cp:lastModifiedBy>
  <dcterms:created xsi:type="dcterms:W3CDTF">2008-01-30T00:41:58Z</dcterms:created>
  <dcterms:modified xsi:type="dcterms:W3CDTF">2010-04-29T17:46:31Z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ies>
</file>